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G:\My Drive\Thesis\"/>
    </mc:Choice>
  </mc:AlternateContent>
  <xr:revisionPtr revIDLastSave="0" documentId="13_ncr:1_{A682DDFF-27E3-485B-BBEE-215C1F6DA063}" xr6:coauthVersionLast="47" xr6:coauthVersionMax="47" xr10:uidLastSave="{00000000-0000-0000-0000-000000000000}"/>
  <bookViews>
    <workbookView xWindow="-103" yWindow="-103" windowWidth="19543" windowHeight="12377" xr2:uid="{00000000-000D-0000-FFFF-FFFF00000000}"/>
  </bookViews>
  <sheets>
    <sheet name="contents" sheetId="17" r:id="rId1"/>
    <sheet name="demography" sheetId="12" r:id="rId2"/>
    <sheet name="public space" sheetId="13" r:id="rId3"/>
    <sheet name="reallocation policy" sheetId="15" r:id="rId4"/>
    <sheet name="vehicle adoption" sheetId="14" r:id="rId5"/>
    <sheet name="destination choice" sheetId="16" r:id="rId6"/>
    <sheet name="mode choice" sheetId="2" r:id="rId7"/>
    <sheet name="callibration" sheetId="7" r:id="rId8"/>
  </sheets>
  <externalReferences>
    <externalReference r:id="rId9"/>
  </externalReferences>
  <definedNames>
    <definedName name="_xleta.OR" hidden="1" xlm="1">#NAME?</definedName>
    <definedName name="_xleta.T" hidden="1" xlm="1">#NAME?</definedName>
    <definedName name="Beta_5">callibration!$G$23</definedName>
    <definedName name="Beta_8">callibration!$G$12</definedName>
    <definedName name="Car_network">callibration!$D$59</definedName>
    <definedName name="Change_ldc">callibration!$D$40</definedName>
    <definedName name="Change_ldp">callibration!$D$48</definedName>
    <definedName name="Change_mdp">callibration!$D$71</definedName>
    <definedName name="Long_ldc">callibration!$D$40</definedName>
    <definedName name="Metro_network">callibration!$D$67</definedName>
    <definedName name="old">callibration!$D$52</definedName>
    <definedName name="Ref_access">callibration!$D$52</definedName>
    <definedName name="Ref_cost">callibration!$D$84</definedName>
    <definedName name="Ref_crowd">callibration!$D$96</definedName>
    <definedName name="Ref_search">callibration!$D$40</definedName>
    <definedName name="Solve_5">callibration!$M$27</definedName>
    <definedName name="Solve_8">callibration!$M$15</definedName>
    <definedName name="Solve_crowd">callibration!$F$96</definedName>
    <definedName name="Solve_ldc">callibration!$I$40</definedName>
    <definedName name="Solve_ldp">callibration!$I$48</definedName>
    <definedName name="Solve_mdb">callibration!$I$80</definedName>
    <definedName name="Solve_mdc">callibration!$I$61</definedName>
    <definedName name="Solve_mdp">callibration!$I$69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4" i="2" l="1"/>
  <c r="C8" i="16"/>
  <c r="D8" i="16"/>
  <c r="C9" i="16"/>
  <c r="D9" i="16"/>
  <c r="C7" i="15"/>
  <c r="C9" i="15"/>
  <c r="D8" i="15" s="1"/>
  <c r="D10" i="15" s="1"/>
  <c r="C10" i="15"/>
  <c r="C11" i="15"/>
  <c r="C12" i="15"/>
  <c r="C14" i="15"/>
  <c r="C32" i="14"/>
  <c r="C31" i="14"/>
  <c r="C33" i="14" s="1"/>
  <c r="D19" i="14"/>
  <c r="D15" i="14"/>
  <c r="D16" i="14" s="1"/>
  <c r="C15" i="14"/>
  <c r="C16" i="14" s="1"/>
  <c r="D8" i="14"/>
  <c r="D10" i="14" s="1"/>
  <c r="D11" i="14" s="1"/>
  <c r="C8" i="14"/>
  <c r="C10" i="14" s="1"/>
  <c r="C11" i="14" s="1"/>
  <c r="D24" i="13"/>
  <c r="D50" i="13"/>
  <c r="D51" i="13"/>
  <c r="D52" i="13"/>
  <c r="C32" i="13"/>
  <c r="D37" i="13"/>
  <c r="D22" i="13"/>
  <c r="C25" i="13"/>
  <c r="D25" i="13" s="1"/>
  <c r="C42" i="13"/>
  <c r="C43" i="13" s="1"/>
  <c r="F7" i="13"/>
  <c r="C21" i="13" s="1"/>
  <c r="C31" i="13" s="1"/>
  <c r="F13" i="13"/>
  <c r="F14" i="13"/>
  <c r="B15" i="13"/>
  <c r="C15" i="13"/>
  <c r="D15" i="13"/>
  <c r="E15" i="13"/>
  <c r="C71" i="12"/>
  <c r="D69" i="12"/>
  <c r="D71" i="12" s="1"/>
  <c r="C70" i="12"/>
  <c r="H65" i="12"/>
  <c r="H64" i="12"/>
  <c r="C66" i="12"/>
  <c r="D63" i="12"/>
  <c r="I65" i="12" s="1"/>
  <c r="D62" i="12"/>
  <c r="I64" i="12" s="1"/>
  <c r="D57" i="12"/>
  <c r="C57" i="12"/>
  <c r="C55" i="12"/>
  <c r="C56" i="12" s="1"/>
  <c r="C49" i="12"/>
  <c r="C48" i="12"/>
  <c r="D47" i="12"/>
  <c r="D46" i="12"/>
  <c r="C43" i="12"/>
  <c r="C42" i="12"/>
  <c r="D41" i="12"/>
  <c r="D40" i="12"/>
  <c r="D32" i="12"/>
  <c r="D36" i="12" s="1"/>
  <c r="D31" i="12"/>
  <c r="D34" i="12" s="1"/>
  <c r="E22" i="12"/>
  <c r="D22" i="12"/>
  <c r="C22" i="12"/>
  <c r="D32" i="14" s="1"/>
  <c r="C21" i="12"/>
  <c r="D31" i="14" s="1"/>
  <c r="E20" i="12"/>
  <c r="D20" i="12"/>
  <c r="C20" i="12"/>
  <c r="D55" i="12" s="1"/>
  <c r="D58" i="12" s="1"/>
  <c r="D35" i="14" s="1"/>
  <c r="D41" i="7"/>
  <c r="D67" i="7"/>
  <c r="D52" i="7"/>
  <c r="D70" i="7"/>
  <c r="D49" i="7"/>
  <c r="D51" i="7"/>
  <c r="C13" i="15" l="1"/>
  <c r="D33" i="14"/>
  <c r="C58" i="12"/>
  <c r="C35" i="14" s="1"/>
  <c r="C34" i="14"/>
  <c r="C36" i="14" s="1"/>
  <c r="C37" i="14" s="1"/>
  <c r="D34" i="14"/>
  <c r="D36" i="14" s="1"/>
  <c r="F15" i="13"/>
  <c r="C23" i="13" s="1"/>
  <c r="C18" i="14" s="1"/>
  <c r="D21" i="13"/>
  <c r="C44" i="13"/>
  <c r="C45" i="13" s="1"/>
  <c r="I66" i="12"/>
  <c r="H66" i="12"/>
  <c r="D70" i="12"/>
  <c r="C50" i="12"/>
  <c r="D66" i="12"/>
  <c r="D56" i="12"/>
  <c r="D43" i="12"/>
  <c r="C44" i="12"/>
  <c r="D49" i="12"/>
  <c r="D42" i="12"/>
  <c r="D48" i="12"/>
  <c r="D33" i="12"/>
  <c r="D35" i="12"/>
  <c r="L51" i="7"/>
  <c r="D38" i="14" l="1"/>
  <c r="D37" i="14"/>
  <c r="C38" i="14"/>
  <c r="B16" i="13"/>
  <c r="D23" i="13"/>
  <c r="C33" i="13"/>
  <c r="C20" i="13"/>
  <c r="D16" i="13"/>
  <c r="C16" i="13"/>
  <c r="E16" i="13"/>
  <c r="D44" i="12"/>
  <c r="D50" i="12"/>
  <c r="D94" i="2"/>
  <c r="D93" i="2"/>
  <c r="D92" i="2"/>
  <c r="C94" i="2"/>
  <c r="C93" i="2"/>
  <c r="C92" i="2"/>
  <c r="D20" i="13" l="1"/>
  <c r="C30" i="13"/>
  <c r="C95" i="2"/>
  <c r="C102" i="2" s="1"/>
  <c r="D95" i="2"/>
  <c r="D102" i="2" s="1"/>
  <c r="C99" i="2" l="1"/>
  <c r="C100" i="2"/>
  <c r="D101" i="2"/>
  <c r="D100" i="2"/>
  <c r="D99" i="2"/>
  <c r="C101" i="2"/>
  <c r="C17" i="2" l="1"/>
  <c r="D81" i="7"/>
  <c r="D80" i="7"/>
  <c r="D79" i="7"/>
  <c r="D62" i="7" l="1"/>
  <c r="H80" i="7"/>
  <c r="D77" i="7"/>
  <c r="D82" i="7"/>
  <c r="H69" i="7"/>
  <c r="D66" i="7"/>
  <c r="G66" i="7" s="1"/>
  <c r="D61" i="7"/>
  <c r="H61" i="7"/>
  <c r="D54" i="7"/>
  <c r="D73" i="7" s="1"/>
  <c r="D92" i="7"/>
  <c r="C89" i="7" s="1"/>
  <c r="H48" i="7"/>
  <c r="D109" i="7"/>
  <c r="D39" i="7" s="1"/>
  <c r="G37" i="7" s="1"/>
  <c r="G41" i="7" s="1"/>
  <c r="D108" i="7"/>
  <c r="C104" i="7"/>
  <c r="H40" i="7"/>
  <c r="E29" i="7"/>
  <c r="E28" i="7"/>
  <c r="D30" i="7"/>
  <c r="D28" i="7"/>
  <c r="D16" i="7"/>
  <c r="D17" i="7"/>
  <c r="G17" i="7" s="1"/>
  <c r="F28" i="7"/>
  <c r="D25" i="7"/>
  <c r="E16" i="7"/>
  <c r="D13" i="7"/>
  <c r="D45" i="7"/>
  <c r="G45" i="7" s="1"/>
  <c r="G50" i="7" s="1"/>
  <c r="C14" i="2"/>
  <c r="C13" i="2"/>
  <c r="C12" i="2"/>
  <c r="C16" i="2" s="1"/>
  <c r="D14" i="2"/>
  <c r="D13" i="2"/>
  <c r="D12" i="2"/>
  <c r="D16" i="2" s="1"/>
  <c r="D11" i="2"/>
  <c r="D17" i="2" s="1"/>
  <c r="G77" i="7" l="1"/>
  <c r="G80" i="7" s="1"/>
  <c r="I80" i="7" s="1"/>
  <c r="C11" i="16"/>
  <c r="C12" i="16" s="1"/>
  <c r="C18" i="2"/>
  <c r="C25" i="2"/>
  <c r="D60" i="7"/>
  <c r="G58" i="7" s="1"/>
  <c r="D111" i="7"/>
  <c r="G40" i="7"/>
  <c r="I40" i="7" s="1"/>
  <c r="G16" i="7"/>
  <c r="G30" i="7"/>
  <c r="G29" i="7"/>
  <c r="G28" i="7"/>
  <c r="C19" i="2"/>
  <c r="C13" i="16" l="1"/>
  <c r="G61" i="7"/>
  <c r="I61" i="7" s="1"/>
  <c r="G62" i="7"/>
  <c r="C22" i="2"/>
  <c r="D23" i="2"/>
  <c r="H16" i="7" s="1"/>
  <c r="I16" i="7" s="1"/>
  <c r="C23" i="2"/>
  <c r="C24" i="2"/>
  <c r="H30" i="7" s="1"/>
  <c r="I30" i="7" s="1"/>
  <c r="D22" i="2"/>
  <c r="H29" i="7" l="1"/>
  <c r="I29" i="7" s="1"/>
  <c r="H17" i="7"/>
  <c r="I17" i="7" s="1"/>
  <c r="M15" i="7" s="1"/>
  <c r="H28" i="7"/>
  <c r="I28" i="7" s="1"/>
  <c r="M27" i="7" l="1"/>
  <c r="C70" i="2" l="1"/>
  <c r="E66" i="2" l="1"/>
  <c r="E65" i="2"/>
  <c r="E61" i="2"/>
  <c r="E63" i="2"/>
  <c r="D59" i="2"/>
  <c r="D60" i="2"/>
  <c r="E60" i="2" s="1"/>
  <c r="D62" i="2"/>
  <c r="E62" i="2" s="1"/>
  <c r="I72" i="2"/>
  <c r="I73" i="2"/>
  <c r="I74" i="2"/>
  <c r="I75" i="2"/>
  <c r="I76" i="2"/>
  <c r="I77" i="2"/>
  <c r="I58" i="2"/>
  <c r="I59" i="2"/>
  <c r="I60" i="2"/>
  <c r="I61" i="2"/>
  <c r="I62" i="2"/>
  <c r="I63" i="2"/>
  <c r="I64" i="2"/>
  <c r="I65" i="2"/>
  <c r="I66" i="2"/>
  <c r="I67" i="2"/>
  <c r="I68" i="2"/>
  <c r="I69" i="2"/>
  <c r="I70" i="2"/>
  <c r="I71" i="2"/>
  <c r="C64" i="12" l="1"/>
  <c r="C65" i="12" s="1"/>
  <c r="J72" i="2"/>
  <c r="C41" i="2"/>
  <c r="E59" i="2"/>
  <c r="C40" i="2" s="1"/>
  <c r="D64" i="12" l="1"/>
  <c r="D65" i="12" s="1"/>
  <c r="C42" i="2"/>
  <c r="D94" i="7" l="1"/>
  <c r="D95" i="7" l="1"/>
  <c r="D97" i="7" s="1"/>
  <c r="F96" i="7" s="1"/>
  <c r="D72" i="7" l="1"/>
  <c r="G69" i="7" s="1"/>
  <c r="I69" i="7" s="1"/>
  <c r="D53" i="7"/>
  <c r="G48" i="7" s="1"/>
  <c r="I48" i="7" s="1"/>
  <c r="G73" i="7"/>
</calcChain>
</file>

<file path=xl/sharedStrings.xml><?xml version="1.0" encoding="utf-8"?>
<sst xmlns="http://schemas.openxmlformats.org/spreadsheetml/2006/main" count="501" uniqueCount="361">
  <si>
    <t>Distribution of public space</t>
  </si>
  <si>
    <t>Total public space</t>
  </si>
  <si>
    <t>Total private parking</t>
  </si>
  <si>
    <t>Stationnement payant mixte et rotatif (134112 places)</t>
  </si>
  <si>
    <t>Aires de liveraison (9766)</t>
  </si>
  <si>
    <t>Deux-roues (104113 places)</t>
  </si>
  <si>
    <t>Autre</t>
  </si>
  <si>
    <t xml:space="preserve">Autocars </t>
  </si>
  <si>
    <t>Total bike space</t>
  </si>
  <si>
    <t>1 place voiture = 4 places moto = 8 places velo = 6 places velo/moto mixte</t>
  </si>
  <si>
    <t>Residential parking</t>
  </si>
  <si>
    <t>Commercial parking</t>
  </si>
  <si>
    <t>https://omnil.fr/medias/omnil/fdbd2e66-2ea9-47e6-a3a6-1d5d5de409a3_resultats_egt_h2020.pdf</t>
  </si>
  <si>
    <t>Regional traffic by hour of departure</t>
  </si>
  <si>
    <t>https://www.institutparisregion.fr/fileadmin/NewEtudes/Etude_543/170km-rapport-final.pdf</t>
  </si>
  <si>
    <t>pkm</t>
  </si>
  <si>
    <t>pkm/trips</t>
  </si>
  <si>
    <t>Time window</t>
  </si>
  <si>
    <t>km/Hour</t>
  </si>
  <si>
    <t>Average speed in rush hour in 2023</t>
  </si>
  <si>
    <t>Congestion reference value 2023</t>
  </si>
  <si>
    <t>https://www.tomtom.com/traffic-index/ranking/?country=FR</t>
  </si>
  <si>
    <t>km/h</t>
  </si>
  <si>
    <t>kc</t>
  </si>
  <si>
    <t>k(peak)</t>
  </si>
  <si>
    <t>cars/(m*Hour)</t>
  </si>
  <si>
    <t>vf</t>
  </si>
  <si>
    <t>v(peak)</t>
  </si>
  <si>
    <t>https://www.paris.fr/pages/generalisation-de-la-vitesse-a-30-km-h-les-parisiens-ont-donne-leur-avis-16967</t>
  </si>
  <si>
    <t>Speed limit in Paris</t>
  </si>
  <si>
    <t>DEP-92</t>
  </si>
  <si>
    <t>DEP-93</t>
  </si>
  <si>
    <t>DEP-94</t>
  </si>
  <si>
    <t>Paris</t>
  </si>
  <si>
    <t>Berlin</t>
  </si>
  <si>
    <t>Amsterdam</t>
  </si>
  <si>
    <t>Motor traffic</t>
  </si>
  <si>
    <t>Pedestrians</t>
  </si>
  <si>
    <t>Barcelona</t>
  </si>
  <si>
    <t>Exclusive bike lanes</t>
  </si>
  <si>
    <t>Parking</t>
  </si>
  <si>
    <t>PT</t>
  </si>
  <si>
    <t>Total</t>
  </si>
  <si>
    <t>Trips</t>
  </si>
  <si>
    <t>Share</t>
  </si>
  <si>
    <t>Land area</t>
  </si>
  <si>
    <t>Populations and households 2021</t>
  </si>
  <si>
    <t>CAGR=</t>
  </si>
  <si>
    <t>(ending/beginning)^(1/p) - 1</t>
  </si>
  <si>
    <t>city</t>
  </si>
  <si>
    <t>ring</t>
  </si>
  <si>
    <t>beginning (2015)</t>
  </si>
  <si>
    <t>ending (2021)</t>
  </si>
  <si>
    <t>CAGR</t>
  </si>
  <si>
    <t>p (whole years)</t>
  </si>
  <si>
    <t>City</t>
  </si>
  <si>
    <t>Ring</t>
  </si>
  <si>
    <t>source</t>
  </si>
  <si>
    <t>v(t) = vf * (1-k(t)/kc)</t>
  </si>
  <si>
    <t>v(t)/vf = 1-k(t)/kc</t>
  </si>
  <si>
    <t>kc = k(t)/(1-v(t)/vf)</t>
  </si>
  <si>
    <t>k(c) * (-v(t)/vf+1) = k(t)</t>
  </si>
  <si>
    <t>Bathtub model for commuters in peak hour</t>
  </si>
  <si>
    <t>Parking space size</t>
  </si>
  <si>
    <t>Estimated bike space</t>
  </si>
  <si>
    <t>Estimated on-street parking space</t>
  </si>
  <si>
    <t>Population</t>
  </si>
  <si>
    <t>Households</t>
  </si>
  <si>
    <t>Birth rate</t>
  </si>
  <si>
    <t>Death rate</t>
  </si>
  <si>
    <t>Household size</t>
  </si>
  <si>
    <t>Source demographics</t>
  </si>
  <si>
    <t>Source land area</t>
  </si>
  <si>
    <t>Household disp income</t>
  </si>
  <si>
    <t>Modelled distances</t>
  </si>
  <si>
    <t>km</t>
  </si>
  <si>
    <t>Metro lines in 2023</t>
  </si>
  <si>
    <t>Total seat capacity per direction Paris metro system</t>
  </si>
  <si>
    <t>Model</t>
  </si>
  <si>
    <t>Capacity</t>
  </si>
  <si>
    <t>MP 73</t>
  </si>
  <si>
    <t>MP 89</t>
  </si>
  <si>
    <t>MP 05</t>
  </si>
  <si>
    <t>MP 14</t>
  </si>
  <si>
    <t>MF 67</t>
  </si>
  <si>
    <t>MF 77</t>
  </si>
  <si>
    <t>MF 88</t>
  </si>
  <si>
    <t>MF 01</t>
  </si>
  <si>
    <t>Trains in service</t>
  </si>
  <si>
    <t>Seats</t>
  </si>
  <si>
    <t>Seat capacity</t>
  </si>
  <si>
    <t>https://omni.wikiwand.com/fr/articles/Mat%C3%A9riel_roulant_du_m%C3%A9tro_de_Paris#Parc_actuel</t>
  </si>
  <si>
    <t>Share of PT trips for commuting</t>
  </si>
  <si>
    <t>https://citytransit.uitp.org/paris</t>
  </si>
  <si>
    <t>Peak hourly check-ins PT 2019</t>
  </si>
  <si>
    <t>https://www.institutparisregion.fr/mobilite-et-transports/deplacements/tableau-de-bord-de-la-mobilite-en-ile-de-france/</t>
  </si>
  <si>
    <t>Peak time average headway metro &amp; RER</t>
  </si>
  <si>
    <t>Metro weighted average seats</t>
  </si>
  <si>
    <t>Metro weighted average capacity</t>
  </si>
  <si>
    <t>Where 0-1 is no crowding, and 1-2 is crowding</t>
  </si>
  <si>
    <t>Overcrowding reference values 2019 / 2023</t>
  </si>
  <si>
    <t>Source: insee tables,  wiki, lemonde/citytransit</t>
  </si>
  <si>
    <t>insee</t>
  </si>
  <si>
    <t xml:space="preserve">Set maximum capacity kmax = kref/cref * cmax </t>
  </si>
  <si>
    <t>kmax</t>
  </si>
  <si>
    <t>Standing capacity</t>
  </si>
  <si>
    <t>https://www.apur.org/sites/default/files/migrations_residentielles.pdf?token=70JnEg46</t>
  </si>
  <si>
    <t>Source migration</t>
  </si>
  <si>
    <t>Arrivals</t>
  </si>
  <si>
    <t>Departures</t>
  </si>
  <si>
    <t>Median household disposable income</t>
  </si>
  <si>
    <t>Immigration rate</t>
  </si>
  <si>
    <t>Outmigration rate</t>
  </si>
  <si>
    <t>Net migration rate</t>
  </si>
  <si>
    <t>Road network length</t>
  </si>
  <si>
    <t>page 96 of Heran</t>
  </si>
  <si>
    <t>Length of communal road network</t>
  </si>
  <si>
    <t>Length of departmental road network</t>
  </si>
  <si>
    <t>Length of national road network</t>
  </si>
  <si>
    <t>https://www.lefigaro.fr/conjoncture/ile-de-france-ponctualite-frequentation-comment-se-situe-votre-ligne-de-rer-20231019</t>
  </si>
  <si>
    <t>https://www.liberation.fr/checknews/2018/02/20/a-quelle-vitesse-roulent-les-rer_1653188/</t>
  </si>
  <si>
    <t>Daily trips per liaison in 2020</t>
  </si>
  <si>
    <t>Long distance</t>
  </si>
  <si>
    <t>Mid distance</t>
  </si>
  <si>
    <t>Cars</t>
  </si>
  <si>
    <t>Remainder when subtracting land area</t>
  </si>
  <si>
    <t>Estimated fraction of trips in peak hour</t>
  </si>
  <si>
    <t>Car occupancy rate greater Paris</t>
  </si>
  <si>
    <t>Peak time window</t>
  </si>
  <si>
    <t>Share of pop &gt;30</t>
  </si>
  <si>
    <t>Share of pop &lt;30</t>
  </si>
  <si>
    <t>Share pop &lt;30</t>
  </si>
  <si>
    <t>Share of households car-owning</t>
  </si>
  <si>
    <t>Share hh. 1+ car</t>
  </si>
  <si>
    <t>Cars per car-owning</t>
  </si>
  <si>
    <t>Home construction</t>
  </si>
  <si>
    <t>Homes 2015</t>
  </si>
  <si>
    <t>Homes 2021</t>
  </si>
  <si>
    <t>Reference homes/household</t>
  </si>
  <si>
    <t>Reference net construction rate</t>
  </si>
  <si>
    <t>Construction rate based on 100y lifetime</t>
  </si>
  <si>
    <t>Assumed &lt;20 to &lt;30 ratio</t>
  </si>
  <si>
    <t>Private parking space</t>
  </si>
  <si>
    <t>Bike availability</t>
  </si>
  <si>
    <t>Car</t>
  </si>
  <si>
    <t>Motorized</t>
  </si>
  <si>
    <t>Bike</t>
  </si>
  <si>
    <t>Pedestrian</t>
  </si>
  <si>
    <t>Bike and micromobility</t>
  </si>
  <si>
    <t>Paris&lt;&gt;Ring</t>
  </si>
  <si>
    <t>Long trips</t>
  </si>
  <si>
    <t>Paris&lt;&gt;Paris</t>
  </si>
  <si>
    <t>A</t>
  </si>
  <si>
    <t>C</t>
  </si>
  <si>
    <t>B</t>
  </si>
  <si>
    <t>share with bike and PT access</t>
  </si>
  <si>
    <t>share with car and PT access</t>
  </si>
  <si>
    <t>share with only PT access</t>
  </si>
  <si>
    <t>Callibrating reference values to initial subjective travel times</t>
  </si>
  <si>
    <t>Subjective travel times</t>
  </si>
  <si>
    <t>Actual</t>
  </si>
  <si>
    <t>Callibrate:</t>
  </si>
  <si>
    <t>Diff</t>
  </si>
  <si>
    <t>Initial overcrowding multiplier</t>
  </si>
  <si>
    <t>Initial overcrowding level</t>
  </si>
  <si>
    <t>Peak riders per hour (kref)</t>
  </si>
  <si>
    <t>changing time</t>
  </si>
  <si>
    <t>Long distance trips</t>
  </si>
  <si>
    <t>Mid distance trips</t>
  </si>
  <si>
    <t>Long distance car trips</t>
  </si>
  <si>
    <t>Long distance PT trips</t>
  </si>
  <si>
    <t>Long distance trips eucl dist</t>
  </si>
  <si>
    <t>Initial congested speed</t>
  </si>
  <si>
    <t>reference parking search and egress time</t>
  </si>
  <si>
    <t>subjective parking search and egress time</t>
  </si>
  <si>
    <t>Callibrating Beta to modal split</t>
  </si>
  <si>
    <t>Beta_8</t>
  </si>
  <si>
    <t>Beta_5</t>
  </si>
  <si>
    <t>For solver:</t>
  </si>
  <si>
    <t>In vehicle:</t>
  </si>
  <si>
    <t>Assumed</t>
  </si>
  <si>
    <t>Assumed subjective travel times</t>
  </si>
  <si>
    <t>Callibrating overcrowing of public transport</t>
  </si>
  <si>
    <t>Callibrating congestion for cars</t>
  </si>
  <si>
    <t>subjective changing time</t>
  </si>
  <si>
    <t>subjective access egress time</t>
  </si>
  <si>
    <t>reference access egress time</t>
  </si>
  <si>
    <t>In vehicle</t>
  </si>
  <si>
    <t>initial overcrowding multiplier</t>
  </si>
  <si>
    <t>Current overcrowding level</t>
  </si>
  <si>
    <t>Mid distance car trips</t>
  </si>
  <si>
    <t>Mid distance PT trips</t>
  </si>
  <si>
    <t>Car network to eucl dist ratio - long</t>
  </si>
  <si>
    <t>Mid distance distance trips eucl dist</t>
  </si>
  <si>
    <t>Mid distance trips eucl distance</t>
  </si>
  <si>
    <t>Car network to eucl dist ratio - mid</t>
  </si>
  <si>
    <t>initial cycling network to eucl dist ratio</t>
  </si>
  <si>
    <t>average e-bike speed</t>
  </si>
  <si>
    <t>average pedal bike speed</t>
  </si>
  <si>
    <t>share of e-bikes</t>
  </si>
  <si>
    <t>initial average cycling speed</t>
  </si>
  <si>
    <t>Public space</t>
  </si>
  <si>
    <t>Mode choice</t>
  </si>
  <si>
    <t>Policy</t>
  </si>
  <si>
    <t>Average road width</t>
  </si>
  <si>
    <t>Network length converted annually</t>
  </si>
  <si>
    <t>Assumed width added</t>
  </si>
  <si>
    <t>Average distribution change</t>
  </si>
  <si>
    <t>Desired distribution</t>
  </si>
  <si>
    <t>Current distribution</t>
  </si>
  <si>
    <t>(motorist, pedestrian, bike)</t>
  </si>
  <si>
    <t>Share of parking in space for motorists</t>
  </si>
  <si>
    <t>Renewal rate of public space</t>
  </si>
  <si>
    <t>Average Paris-Paris distance/trip 2001</t>
  </si>
  <si>
    <t>Average Paris-Ring distance/trip 2001</t>
  </si>
  <si>
    <t>Average distance per car trip in region 2001</t>
  </si>
  <si>
    <t>Modal split of greater paris trips crossing city in 2020</t>
  </si>
  <si>
    <t>Assumed modal split on long and short-to-mid distance trips</t>
  </si>
  <si>
    <t>Short-mid trips</t>
  </si>
  <si>
    <t>Mode shares</t>
  </si>
  <si>
    <t>City - City estimate</t>
  </si>
  <si>
    <t>Ring - City estimate</t>
  </si>
  <si>
    <t>https://www.data.gouv.fr/en/datasets/nombre-de-souscripteurs-veligo-location-par-commune/</t>
  </si>
  <si>
    <t>Dock to bike ratio</t>
  </si>
  <si>
    <t>https://brtguide.itdp.org/branch/master/guide/bicycle-and-pedicab-integration/bicycle-systems</t>
  </si>
  <si>
    <t>https://opendata.paris.fr/explore/dataset/velib-disponibilite-en-temps-reel/information/?disjunctive.name&amp;disjunctive.is_installed&amp;disjunctive.is_renting&amp;disjunctive.is_returning&amp;disjunctive.nom_arrondissement_communes</t>
  </si>
  <si>
    <t>Docks per space for cyclists</t>
  </si>
  <si>
    <t>Docks in ring relative to city</t>
  </si>
  <si>
    <t>Private bikes</t>
  </si>
  <si>
    <t>Veligo rented bikes</t>
  </si>
  <si>
    <t>Total private or rented bikes</t>
  </si>
  <si>
    <t>Total bikesharing users</t>
  </si>
  <si>
    <t>https://www.capital.fr/conso/velib-condition-abonnement-et-tarif-1479865</t>
  </si>
  <si>
    <t>Estimated users per zone</t>
  </si>
  <si>
    <t>Bikesharing docks per zone</t>
  </si>
  <si>
    <t>Private bike parking</t>
  </si>
  <si>
    <t>https://www.paris.fr/pages/test-stationner-son-velo-7525</t>
  </si>
  <si>
    <t>Per household</t>
  </si>
  <si>
    <t>PT speeds</t>
  </si>
  <si>
    <t>Capacity increase per 10 years</t>
  </si>
  <si>
    <t>Share of ebikes</t>
  </si>
  <si>
    <t>Bike speeds</t>
  </si>
  <si>
    <t>Ebike</t>
  </si>
  <si>
    <t>Pedal bike</t>
  </si>
  <si>
    <t>https://www.itf-oecd.org/sites/default/files/docs/improving-quality-walking-cycling-cities.pdf</t>
  </si>
  <si>
    <t>Share of pop youth (&lt;20)</t>
  </si>
  <si>
    <t>Share of pop car owning and &gt;20</t>
  </si>
  <si>
    <t>Initial pop "no car"</t>
  </si>
  <si>
    <t>Initial pop "car"</t>
  </si>
  <si>
    <t>Initial pop "youth"</t>
  </si>
  <si>
    <t>Cars per pop "car"</t>
  </si>
  <si>
    <t>Long distance trips eucl distance</t>
  </si>
  <si>
    <t>Share of walking trips in urban trips</t>
  </si>
  <si>
    <t>Contraflow bike lanes</t>
  </si>
  <si>
    <t>Shared bus and bike lanes</t>
  </si>
  <si>
    <t>Bike lanes</t>
  </si>
  <si>
    <t>Seperated bike lanes</t>
  </si>
  <si>
    <t>Trips per mode per relation</t>
  </si>
  <si>
    <t>Within Paris</t>
  </si>
  <si>
    <t>Between Paris and the first ring</t>
  </si>
  <si>
    <t>Between Paris and the second ring</t>
  </si>
  <si>
    <t>Total number of daily trips</t>
  </si>
  <si>
    <t>Total number of private vehicle trips</t>
  </si>
  <si>
    <t>Share in total trips per mode per relation</t>
  </si>
  <si>
    <t>Share in total number of daily trips</t>
  </si>
  <si>
    <t>Share in total number of private vehicle trips</t>
  </si>
  <si>
    <t>Arrivals 2021</t>
  </si>
  <si>
    <t>Departures 2021</t>
  </si>
  <si>
    <t>Arrivals 2017</t>
  </si>
  <si>
    <t>Departures 2017</t>
  </si>
  <si>
    <t>Rail average speed</t>
  </si>
  <si>
    <t>net added capacity per year</t>
  </si>
  <si>
    <t>Seat capacity to total capacity ratio</t>
  </si>
  <si>
    <t>Physical time</t>
  </si>
  <si>
    <t>Mid distance bike trips</t>
  </si>
  <si>
    <t>subjective waiting time</t>
  </si>
  <si>
    <t>waiting time</t>
  </si>
  <si>
    <t>Physical</t>
  </si>
  <si>
    <t>Metro average speed</t>
  </si>
  <si>
    <t>cycling parking time</t>
  </si>
  <si>
    <t>PT network to eucl dist ratio</t>
  </si>
  <si>
    <t>reference subjective value factor for cycling time</t>
  </si>
  <si>
    <t>Argumentation: average physical travel time per trip between Paris and first ring is between 40 and 50 Minutes. Initially, subjective travel time is higher on PT although physical time is shorter, due to the various subjective value factors and overcrowding</t>
  </si>
  <si>
    <t>Destination choice</t>
  </si>
  <si>
    <t>City population</t>
  </si>
  <si>
    <t>Within own zone (total)</t>
  </si>
  <si>
    <t>Within own zone (per person)</t>
  </si>
  <si>
    <t>To the other zone (total)</t>
  </si>
  <si>
    <t>To the other zone (per person)</t>
  </si>
  <si>
    <t>Ring population</t>
  </si>
  <si>
    <t>Share of urban trips by foot</t>
  </si>
  <si>
    <t xml:space="preserve">Estimated short distance </t>
  </si>
  <si>
    <t>Estimated mid distance</t>
  </si>
  <si>
    <t>Assumption: average travel time per trip within Paris is 31 Minutes. Physically, car trips take the longest. Subjectively, PT and bike trips.</t>
  </si>
  <si>
    <t>Vehicle adoption</t>
  </si>
  <si>
    <t>Car parking</t>
  </si>
  <si>
    <t>Cyclists</t>
  </si>
  <si>
    <t>https://www.insee.fr/fr/statistiques/7630376#consulter</t>
  </si>
  <si>
    <t>Demography</t>
  </si>
  <si>
    <t>Data per departement in first ring</t>
  </si>
  <si>
    <t>DEP-75</t>
  </si>
  <si>
    <t>DEP-75 is the city of Paris, DEP-92 and DEP-93, and DEP-94 are the surrounding municipalities in the first ring around Paris</t>
  </si>
  <si>
    <t>Source City</t>
  </si>
  <si>
    <t>Migration in 2021</t>
  </si>
  <si>
    <t>Migration in 2017</t>
  </si>
  <si>
    <t>For the reference migration rate in the model, 2017 is chosen as the reference year, given 2021 was an exceptional year with high out-migration according to APUR</t>
  </si>
  <si>
    <t>This tab lists basic demographic data used to estimate stocks of the model (population, cars, homes) and reference migration and construction rates</t>
  </si>
  <si>
    <t>Compound annual growth rate to estimate reference construction rate</t>
  </si>
  <si>
    <t>Population density</t>
  </si>
  <si>
    <t>Home density</t>
  </si>
  <si>
    <t>Source:</t>
  </si>
  <si>
    <t>APUR</t>
  </si>
  <si>
    <t>Places immeubliaire</t>
  </si>
  <si>
    <t>Places dans parcs concedes</t>
  </si>
  <si>
    <t>Ref</t>
  </si>
  <si>
    <t>Validation of total</t>
  </si>
  <si>
    <t>Validation of distribution by comparing to other cities' estimates</t>
  </si>
  <si>
    <t>Excluding peripherique, according to Heran page 95. They likely included the surface area of parks / forested area</t>
  </si>
  <si>
    <t xml:space="preserve">Low confidence. Based on minimum sidewalk width </t>
  </si>
  <si>
    <t>Low confidence. Remainder when subtracting other categories including low confidence estimate for pedestrian space</t>
  </si>
  <si>
    <t>High confidence</t>
  </si>
  <si>
    <t>Moderate confidence</t>
  </si>
  <si>
    <t>Surface Area</t>
  </si>
  <si>
    <t>Source</t>
  </si>
  <si>
    <t>See .ipynb notebooks for total and pedestrian space estimates</t>
  </si>
  <si>
    <t>https://carto-velo.iledefrance-mobilites.fr/fr/paris_75/facilities</t>
  </si>
  <si>
    <t>Private bikes per 1000 inh.</t>
  </si>
  <si>
    <t>Sources:</t>
  </si>
  <si>
    <t>See also .ipynb files</t>
  </si>
  <si>
    <t xml:space="preserve">Age </t>
  </si>
  <si>
    <t>Car ownership</t>
  </si>
  <si>
    <t>This tab estimates initial values related to bike and car adoption</t>
  </si>
  <si>
    <t>This tab estimates initial values related to public space distribution and car parking</t>
  </si>
  <si>
    <t xml:space="preserve">This tab extrapolates the proposed road space reallocation policy to define a desired public space distribution relative to the estimated current public space distribution </t>
  </si>
  <si>
    <t>plan velo</t>
  </si>
  <si>
    <t>plan pieton</t>
  </si>
  <si>
    <t>For the extrapoloation we assume the desired change in average distribution follows from the two policies being implemented simultaneously but on separate sections of the street network, until the entire street network is renewed by the two policies</t>
  </si>
  <si>
    <t>This tab estimates the initial values for travel demand per spatial relation and per trip distance band, and defines the trip distance bands</t>
  </si>
  <si>
    <t>https://omnil.fr/medias/omnil/21d02748-73a2-4f4a-b30d-52a5f9c2658e_2023_resultats_detailles_egt_h2020.pdf</t>
  </si>
  <si>
    <t>Assumptions for initial modal split:</t>
  </si>
  <si>
    <t>Assumption: . all = mid for bike</t>
  </si>
  <si>
    <t xml:space="preserve">For PT and car: Paris&lt;&gt;Paris = mid-distance and Paris&lt;&gt;Ring = long distance </t>
  </si>
  <si>
    <t>For bike: all trips are mid-distance</t>
  </si>
  <si>
    <t>For by foot: all trips are short-distance</t>
  </si>
  <si>
    <t>This tab estimates the (initial) values for modal split, congestion, overcrowding, and travel speeds. It also computes the data for Figure 3.1 in the report.</t>
  </si>
  <si>
    <t xml:space="preserve">Job locations source used in Chapter 3 and analyzed in .ipynb </t>
  </si>
  <si>
    <t>Callibration</t>
  </si>
  <si>
    <t>This tab callibrates the initial values of sets of parameters to match the modal split per trip distance band at initial time.</t>
  </si>
  <si>
    <t xml:space="preserve">The main assumption is the size of subjective travel times. They cannot be too low and their relative sizes need to align with the modal split. </t>
  </si>
  <si>
    <t>However, the initial subjective travel times can be varied to some extent, e.g they can be estimated higher to reflect that subj travel time is assumed more important.</t>
  </si>
  <si>
    <t>This variation translates into the estimates for changing time and parking search and out-vehicle time that follow from the callibration process.</t>
  </si>
  <si>
    <t>Still, there are constraints, since at some point estimates from the callibration process would become unrealistic</t>
  </si>
  <si>
    <t>Contents</t>
  </si>
  <si>
    <t>This sheet has the following contents:</t>
  </si>
  <si>
    <t>demography</t>
  </si>
  <si>
    <t>public space</t>
  </si>
  <si>
    <t>reallocation policy</t>
  </si>
  <si>
    <t>vehicle adoption</t>
  </si>
  <si>
    <t>destination choice</t>
  </si>
  <si>
    <t>mode choice</t>
  </si>
  <si>
    <t>callibration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</si>
</sst>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quot; ha&quot;"/>
    <numFmt numFmtId="165" formatCode="0.0"/>
    <numFmt numFmtId="166" formatCode="#,##0.00000&quot; ha&quot;"/>
    <numFmt numFmtId="167" formatCode="0.0%"/>
    <numFmt numFmtId="168" formatCode="0.000"/>
    <numFmt numFmtId="169" formatCode="0.0000"/>
    <numFmt numFmtId="171" formatCode="#,##0&quot; km&quot;"/>
    <numFmt numFmtId="173" formatCode="0&quot; Minutes/trips&quot;"/>
    <numFmt numFmtId="174" formatCode="0&quot; km/Year&quot;"/>
    <numFmt numFmtId="175" formatCode="0.00&quot; m&quot;"/>
    <numFmt numFmtId="177" formatCode="0&quot; m&quot;"/>
    <numFmt numFmtId="178" formatCode="0&quot; daily trips&quot;"/>
    <numFmt numFmtId="179" formatCode="#,##0.0000&quot; trips/person&quot;"/>
    <numFmt numFmtId="180" formatCode="0.00&quot; km/Year&quot;"/>
  </numFmts>
  <fonts count="16" x14ac:knownFonts="1">
    <font>
      <sz val="11"/>
      <color theme="1"/>
      <name val="Calibri"/>
      <family val="2"/>
      <scheme val="minor"/>
    </font>
    <font>
      <sz val="11"/>
      <color theme="0"/>
      <name val="Calibri"/>
      <family val="2"/>
      <scheme val="minor"/>
    </font>
    <font>
      <i/>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i/>
      <u/>
      <sz val="11"/>
      <color theme="10"/>
      <name val="Calibri"/>
      <family val="2"/>
      <scheme val="minor"/>
    </font>
    <font>
      <sz val="11"/>
      <name val="Calibri"/>
      <family val="2"/>
      <scheme val="minor"/>
    </font>
    <font>
      <sz val="9"/>
      <color theme="1"/>
      <name val="Calibri"/>
      <family val="2"/>
      <scheme val="minor"/>
    </font>
    <font>
      <i/>
      <u/>
      <sz val="9"/>
      <color theme="10"/>
      <name val="Calibri"/>
      <family val="2"/>
      <scheme val="minor"/>
    </font>
    <font>
      <u/>
      <sz val="9"/>
      <color theme="10"/>
      <name val="Calibri"/>
      <family val="2"/>
      <scheme val="minor"/>
    </font>
    <font>
      <i/>
      <sz val="11"/>
      <name val="Calibri"/>
      <family val="2"/>
      <scheme val="minor"/>
    </font>
    <font>
      <b/>
      <sz val="16"/>
      <color theme="1"/>
      <name val="Calibri"/>
      <family val="2"/>
      <scheme val="minor"/>
    </font>
    <font>
      <i/>
      <sz val="9"/>
      <color theme="1"/>
      <name val="Calibri"/>
      <family val="2"/>
      <scheme val="minor"/>
    </font>
    <font>
      <b/>
      <u/>
      <sz val="11"/>
      <color theme="10"/>
      <name val="Calibri"/>
      <family val="2"/>
      <scheme val="minor"/>
    </font>
  </fonts>
  <fills count="9">
    <fill>
      <patternFill patternType="none"/>
    </fill>
    <fill>
      <patternFill patternType="gray125"/>
    </fill>
    <fill>
      <patternFill patternType="solid">
        <fgColor rgb="FF434343"/>
        <bgColor indexed="64"/>
      </patternFill>
    </fill>
    <fill>
      <patternFill patternType="solid">
        <fgColor theme="1"/>
        <bgColor indexed="64"/>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34998626667073579"/>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3" fillId="0" borderId="0" applyFont="0" applyFill="0" applyBorder="0" applyAlignment="0" applyProtection="0"/>
    <xf numFmtId="0" fontId="6" fillId="0" borderId="0" applyNumberFormat="0" applyFill="0" applyBorder="0" applyAlignment="0" applyProtection="0"/>
  </cellStyleXfs>
  <cellXfs count="119">
    <xf numFmtId="0" fontId="0" fillId="0" borderId="0" xfId="0"/>
    <xf numFmtId="14" fontId="1" fillId="2" borderId="0" xfId="0" applyNumberFormat="1" applyFont="1" applyFill="1"/>
    <xf numFmtId="164" fontId="0" fillId="0" borderId="0" xfId="0" applyNumberFormat="1"/>
    <xf numFmtId="0" fontId="2" fillId="0" borderId="0" xfId="0" applyFont="1"/>
    <xf numFmtId="164" fontId="2" fillId="0" borderId="0" xfId="0" applyNumberFormat="1" applyFont="1"/>
    <xf numFmtId="0" fontId="4" fillId="0" borderId="0" xfId="0" applyFont="1"/>
    <xf numFmtId="9" fontId="0" fillId="0" borderId="0" xfId="1" applyFont="1"/>
    <xf numFmtId="9" fontId="0" fillId="0" borderId="0" xfId="0" applyNumberFormat="1"/>
    <xf numFmtId="0" fontId="5" fillId="0" borderId="0" xfId="0" applyFont="1"/>
    <xf numFmtId="165" fontId="0" fillId="0" borderId="0" xfId="0" applyNumberFormat="1"/>
    <xf numFmtId="1" fontId="0" fillId="0" borderId="0" xfId="0" applyNumberFormat="1"/>
    <xf numFmtId="165" fontId="0" fillId="0" borderId="0" xfId="1" applyNumberFormat="1" applyFont="1"/>
    <xf numFmtId="166" fontId="0" fillId="0" borderId="0" xfId="0" applyNumberFormat="1"/>
    <xf numFmtId="167" fontId="0" fillId="0" borderId="0" xfId="1" applyNumberFormat="1" applyFont="1" applyAlignment="1">
      <alignment horizontal="left"/>
    </xf>
    <xf numFmtId="167" fontId="5" fillId="0" borderId="0" xfId="1" applyNumberFormat="1" applyFont="1" applyAlignment="1">
      <alignment horizontal="left"/>
    </xf>
    <xf numFmtId="9" fontId="0" fillId="0" borderId="0" xfId="1" applyFont="1" applyAlignment="1">
      <alignment horizontal="left"/>
    </xf>
    <xf numFmtId="168" fontId="0" fillId="0" borderId="0" xfId="0" applyNumberFormat="1"/>
    <xf numFmtId="2" fontId="0" fillId="0" borderId="0" xfId="0" applyNumberFormat="1" applyAlignment="1">
      <alignment horizontal="right"/>
    </xf>
    <xf numFmtId="0" fontId="2" fillId="0" borderId="0" xfId="0" applyFont="1" applyAlignment="1">
      <alignment horizontal="left" indent="2"/>
    </xf>
    <xf numFmtId="0" fontId="7" fillId="0" borderId="0" xfId="2" applyFont="1" applyAlignment="1">
      <alignment horizontal="left" indent="2"/>
    </xf>
    <xf numFmtId="0" fontId="6" fillId="0" borderId="0" xfId="2"/>
    <xf numFmtId="2" fontId="0" fillId="0" borderId="0" xfId="0" applyNumberFormat="1"/>
    <xf numFmtId="0" fontId="0" fillId="0" borderId="0" xfId="0" applyAlignment="1">
      <alignment horizontal="left"/>
    </xf>
    <xf numFmtId="0" fontId="0" fillId="0" borderId="0" xfId="0" applyAlignment="1">
      <alignment horizontal="right"/>
    </xf>
    <xf numFmtId="1" fontId="2" fillId="0" borderId="0" xfId="0" applyNumberFormat="1" applyFont="1"/>
    <xf numFmtId="1" fontId="0" fillId="0" borderId="0" xfId="0" applyNumberFormat="1" applyAlignment="1">
      <alignment horizontal="right"/>
    </xf>
    <xf numFmtId="169" fontId="0" fillId="0" borderId="0" xfId="0" applyNumberFormat="1"/>
    <xf numFmtId="1" fontId="0" fillId="0" borderId="0" xfId="1" applyNumberFormat="1" applyFont="1"/>
    <xf numFmtId="0" fontId="0" fillId="0" borderId="0" xfId="0" applyAlignment="1">
      <alignment horizontal="left" wrapText="1"/>
    </xf>
    <xf numFmtId="14" fontId="1" fillId="2" borderId="0" xfId="0" applyNumberFormat="1" applyFont="1" applyFill="1" applyAlignment="1">
      <alignment horizontal="left"/>
    </xf>
    <xf numFmtId="14" fontId="1" fillId="0" borderId="0" xfId="0" applyNumberFormat="1" applyFont="1"/>
    <xf numFmtId="0" fontId="9" fillId="0" borderId="0" xfId="0" applyFont="1" applyAlignment="1">
      <alignment horizontal="right"/>
    </xf>
    <xf numFmtId="0" fontId="10" fillId="0" borderId="0" xfId="2" applyFont="1" applyAlignment="1">
      <alignment horizontal="left"/>
    </xf>
    <xf numFmtId="1" fontId="5" fillId="0" borderId="0" xfId="0" applyNumberFormat="1" applyFont="1"/>
    <xf numFmtId="0" fontId="9" fillId="0" borderId="0" xfId="0" applyFont="1"/>
    <xf numFmtId="0" fontId="11" fillId="0" borderId="0" xfId="2" applyFont="1"/>
    <xf numFmtId="171" fontId="0" fillId="0" borderId="0" xfId="1" applyNumberFormat="1" applyFont="1"/>
    <xf numFmtId="0" fontId="0" fillId="0" borderId="5" xfId="0" applyBorder="1"/>
    <xf numFmtId="0" fontId="0" fillId="0" borderId="7" xfId="0" applyBorder="1"/>
    <xf numFmtId="0" fontId="0" fillId="0" borderId="8" xfId="0" applyBorder="1"/>
    <xf numFmtId="167" fontId="3" fillId="0" borderId="0" xfId="1" applyNumberFormat="1" applyFont="1" applyAlignment="1">
      <alignment horizontal="left"/>
    </xf>
    <xf numFmtId="167" fontId="0" fillId="0" borderId="0" xfId="0" applyNumberFormat="1"/>
    <xf numFmtId="0" fontId="0" fillId="0" borderId="4" xfId="0" applyBorder="1"/>
    <xf numFmtId="0" fontId="0" fillId="0" borderId="6" xfId="0" applyBorder="1"/>
    <xf numFmtId="0" fontId="1" fillId="3" borderId="1" xfId="0" applyFont="1" applyFill="1" applyBorder="1"/>
    <xf numFmtId="14" fontId="0" fillId="0" borderId="0" xfId="0" applyNumberFormat="1" applyAlignment="1">
      <alignment horizontal="left"/>
    </xf>
    <xf numFmtId="9" fontId="2" fillId="0" borderId="0" xfId="1" applyFont="1" applyFill="1"/>
    <xf numFmtId="1" fontId="2" fillId="0" borderId="0" xfId="1" applyNumberFormat="1" applyFont="1" applyFill="1"/>
    <xf numFmtId="14" fontId="8" fillId="0" borderId="0" xfId="0" applyNumberFormat="1" applyFont="1" applyAlignment="1">
      <alignment horizontal="right"/>
    </xf>
    <xf numFmtId="0" fontId="1" fillId="3" borderId="2" xfId="0" applyFont="1" applyFill="1" applyBorder="1"/>
    <xf numFmtId="0" fontId="1" fillId="3" borderId="3" xfId="0" applyFont="1" applyFill="1" applyBorder="1"/>
    <xf numFmtId="0" fontId="1" fillId="5" borderId="4" xfId="0" applyFont="1" applyFill="1" applyBorder="1"/>
    <xf numFmtId="0" fontId="1" fillId="5" borderId="0" xfId="0" applyFont="1" applyFill="1"/>
    <xf numFmtId="0" fontId="1" fillId="5" borderId="5" xfId="0" applyFont="1" applyFill="1" applyBorder="1"/>
    <xf numFmtId="0" fontId="0" fillId="0" borderId="4" xfId="0" applyBorder="1" applyAlignment="1">
      <alignment horizontal="right"/>
    </xf>
    <xf numFmtId="173" fontId="0" fillId="0" borderId="0" xfId="0" applyNumberFormat="1"/>
    <xf numFmtId="9" fontId="0" fillId="0" borderId="0" xfId="1" applyFont="1" applyBorder="1"/>
    <xf numFmtId="14" fontId="12" fillId="6" borderId="0" xfId="0" applyNumberFormat="1" applyFont="1" applyFill="1"/>
    <xf numFmtId="0" fontId="2" fillId="6" borderId="0" xfId="0" applyFont="1" applyFill="1"/>
    <xf numFmtId="0" fontId="0" fillId="6" borderId="0" xfId="0" applyFill="1"/>
    <xf numFmtId="14" fontId="12" fillId="0" borderId="0" xfId="0" applyNumberFormat="1" applyFont="1"/>
    <xf numFmtId="14" fontId="8" fillId="0" borderId="0" xfId="0" applyNumberFormat="1" applyFont="1" applyAlignment="1">
      <alignment horizontal="left"/>
    </xf>
    <xf numFmtId="14" fontId="8" fillId="0" borderId="0" xfId="0" applyNumberFormat="1" applyFont="1" applyAlignment="1">
      <alignment horizontal="left" indent="1"/>
    </xf>
    <xf numFmtId="2" fontId="0" fillId="0" borderId="0" xfId="1" applyNumberFormat="1" applyFont="1" applyBorder="1"/>
    <xf numFmtId="2" fontId="0" fillId="0" borderId="7" xfId="0" applyNumberFormat="1" applyBorder="1"/>
    <xf numFmtId="2" fontId="1" fillId="5" borderId="0" xfId="0" applyNumberFormat="1" applyFont="1" applyFill="1"/>
    <xf numFmtId="14" fontId="8" fillId="6" borderId="0" xfId="0" applyNumberFormat="1" applyFont="1" applyFill="1" applyAlignment="1">
      <alignment horizontal="left"/>
    </xf>
    <xf numFmtId="14" fontId="8" fillId="6" borderId="0" xfId="0" applyNumberFormat="1" applyFont="1" applyFill="1" applyAlignment="1">
      <alignment horizontal="left" indent="1"/>
    </xf>
    <xf numFmtId="0" fontId="0" fillId="0" borderId="9" xfId="0" applyBorder="1"/>
    <xf numFmtId="0" fontId="0" fillId="7" borderId="9" xfId="0" applyFill="1" applyBorder="1"/>
    <xf numFmtId="169" fontId="0" fillId="0" borderId="9" xfId="0" applyNumberFormat="1" applyBorder="1"/>
    <xf numFmtId="1" fontId="0" fillId="0" borderId="9" xfId="0" applyNumberFormat="1" applyBorder="1"/>
    <xf numFmtId="2" fontId="0" fillId="7" borderId="9" xfId="0" applyNumberFormat="1" applyFill="1" applyBorder="1"/>
    <xf numFmtId="165" fontId="0" fillId="7" borderId="9" xfId="0" applyNumberFormat="1" applyFill="1" applyBorder="1"/>
    <xf numFmtId="2" fontId="0" fillId="4" borderId="9" xfId="0" applyNumberFormat="1" applyFill="1" applyBorder="1"/>
    <xf numFmtId="2" fontId="0" fillId="0" borderId="9" xfId="0" applyNumberFormat="1" applyBorder="1"/>
    <xf numFmtId="174" fontId="0" fillId="0" borderId="0" xfId="0" applyNumberFormat="1" applyAlignment="1">
      <alignment horizontal="right"/>
    </xf>
    <xf numFmtId="175" fontId="0" fillId="0" borderId="0" xfId="0" applyNumberFormat="1" applyAlignment="1">
      <alignment horizontal="right"/>
    </xf>
    <xf numFmtId="168" fontId="0" fillId="0" borderId="0" xfId="0" applyNumberFormat="1" applyAlignment="1">
      <alignment horizontal="right"/>
    </xf>
    <xf numFmtId="2" fontId="0" fillId="0" borderId="0" xfId="0" applyNumberFormat="1" applyAlignment="1">
      <alignment horizontal="center"/>
    </xf>
    <xf numFmtId="14" fontId="1" fillId="8" borderId="0" xfId="0" applyNumberFormat="1" applyFont="1" applyFill="1" applyAlignment="1">
      <alignment horizontal="left"/>
    </xf>
    <xf numFmtId="168" fontId="0" fillId="0" borderId="9" xfId="0" applyNumberFormat="1" applyBorder="1"/>
    <xf numFmtId="177" fontId="4" fillId="0" borderId="0" xfId="0" applyNumberFormat="1" applyFont="1" applyAlignment="1">
      <alignment horizontal="right"/>
    </xf>
    <xf numFmtId="177" fontId="0" fillId="0" borderId="0" xfId="0" applyNumberFormat="1"/>
    <xf numFmtId="0" fontId="13" fillId="0" borderId="0" xfId="0" applyFont="1"/>
    <xf numFmtId="0" fontId="0" fillId="4" borderId="9" xfId="0" applyFill="1" applyBorder="1"/>
    <xf numFmtId="0" fontId="8" fillId="0" borderId="0" xfId="2" applyFont="1" applyAlignment="1">
      <alignment horizontal="left"/>
    </xf>
    <xf numFmtId="180" fontId="0" fillId="0" borderId="0" xfId="0" applyNumberFormat="1" applyAlignment="1">
      <alignment horizontal="right"/>
    </xf>
    <xf numFmtId="168" fontId="0" fillId="7" borderId="9" xfId="0" applyNumberFormat="1" applyFill="1" applyBorder="1"/>
    <xf numFmtId="14" fontId="1" fillId="2" borderId="0" xfId="0" applyNumberFormat="1" applyFont="1" applyFill="1" applyAlignment="1">
      <alignment horizontal="left"/>
    </xf>
    <xf numFmtId="175" fontId="0" fillId="0" borderId="0" xfId="0" applyNumberFormat="1"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0" fontId="0" fillId="6" borderId="0" xfId="0" applyFill="1" applyAlignment="1">
      <alignment horizontal="left" indent="2"/>
    </xf>
    <xf numFmtId="14" fontId="8" fillId="6" borderId="0" xfId="0" applyNumberFormat="1" applyFont="1" applyFill="1" applyAlignment="1">
      <alignment horizontal="left"/>
    </xf>
    <xf numFmtId="0" fontId="14" fillId="0" borderId="0" xfId="0" applyFont="1" applyAlignment="1">
      <alignment horizontal="right"/>
    </xf>
    <xf numFmtId="0" fontId="10" fillId="0" borderId="0" xfId="2" applyFont="1"/>
    <xf numFmtId="0" fontId="14" fillId="0" borderId="0" xfId="0" applyFont="1"/>
    <xf numFmtId="14" fontId="1" fillId="2" borderId="0" xfId="0" applyNumberFormat="1" applyFont="1" applyFill="1" applyAlignment="1"/>
    <xf numFmtId="164" fontId="0" fillId="0" borderId="0" xfId="0" applyNumberFormat="1" applyFont="1"/>
    <xf numFmtId="14" fontId="1" fillId="2" borderId="0" xfId="0" applyNumberFormat="1" applyFont="1" applyFill="1" applyAlignment="1">
      <alignment horizontal="right"/>
    </xf>
    <xf numFmtId="9" fontId="14" fillId="0" borderId="0" xfId="1" applyFont="1" applyAlignment="1">
      <alignment horizontal="right"/>
    </xf>
    <xf numFmtId="9" fontId="10" fillId="0" borderId="0" xfId="2" applyNumberFormat="1" applyFont="1"/>
    <xf numFmtId="14" fontId="0" fillId="0" borderId="0" xfId="0" applyNumberFormat="1" applyFont="1" applyAlignment="1">
      <alignment horizontal="left"/>
    </xf>
    <xf numFmtId="1" fontId="0" fillId="0" borderId="0" xfId="0" applyNumberFormat="1" applyFont="1" applyAlignment="1">
      <alignment horizontal="right"/>
    </xf>
    <xf numFmtId="0" fontId="0" fillId="0" borderId="0" xfId="0" applyFont="1"/>
    <xf numFmtId="2" fontId="0" fillId="0" borderId="0" xfId="0" applyNumberFormat="1" applyFont="1"/>
    <xf numFmtId="1" fontId="0" fillId="0" borderId="0" xfId="0" applyNumberFormat="1" applyFont="1" applyAlignment="1">
      <alignment horizontal="center"/>
    </xf>
    <xf numFmtId="165" fontId="0" fillId="0" borderId="0" xfId="0" applyNumberFormat="1" applyFont="1" applyAlignment="1">
      <alignment horizontal="right"/>
    </xf>
    <xf numFmtId="2" fontId="0" fillId="0" borderId="0" xfId="0" applyNumberFormat="1" applyFont="1" applyAlignment="1">
      <alignment horizontal="right"/>
    </xf>
    <xf numFmtId="14" fontId="14" fillId="0" borderId="0" xfId="0" applyNumberFormat="1" applyFont="1" applyAlignment="1">
      <alignment horizontal="right"/>
    </xf>
    <xf numFmtId="14" fontId="10" fillId="0" borderId="0" xfId="2" applyNumberFormat="1" applyFont="1" applyAlignment="1">
      <alignment horizontal="left"/>
    </xf>
    <xf numFmtId="1" fontId="14" fillId="0" borderId="0" xfId="0" applyNumberFormat="1" applyFont="1" applyAlignment="1">
      <alignment horizontal="left"/>
    </xf>
    <xf numFmtId="179" fontId="0" fillId="0" borderId="0" xfId="0" applyNumberFormat="1" applyFont="1"/>
    <xf numFmtId="178" fontId="0" fillId="0" borderId="0" xfId="0" applyNumberFormat="1" applyFont="1"/>
    <xf numFmtId="1" fontId="0" fillId="0" borderId="0" xfId="0" applyNumberFormat="1" applyFont="1"/>
    <xf numFmtId="169" fontId="0" fillId="0" borderId="0" xfId="0" applyNumberFormat="1" applyFont="1"/>
    <xf numFmtId="169" fontId="14" fillId="0" borderId="0" xfId="0" applyNumberFormat="1" applyFont="1"/>
    <xf numFmtId="0" fontId="15" fillId="0" borderId="0" xfId="2" applyFont="1" applyAlignment="1">
      <alignment horizontal="right"/>
    </xf>
  </cellXfs>
  <cellStyles count="3">
    <cellStyle name="Hyperlink" xfId="2" builtinId="8"/>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166551</xdr:colOff>
      <xdr:row>73</xdr:row>
      <xdr:rowOff>33745</xdr:rowOff>
    </xdr:from>
    <xdr:to>
      <xdr:col>3</xdr:col>
      <xdr:colOff>1115125</xdr:colOff>
      <xdr:row>87</xdr:row>
      <xdr:rowOff>26446</xdr:rowOff>
    </xdr:to>
    <xdr:pic>
      <xdr:nvPicPr>
        <xdr:cNvPr id="3" name="Picture 2">
          <a:extLst>
            <a:ext uri="{FF2B5EF4-FFF2-40B4-BE49-F238E27FC236}">
              <a16:creationId xmlns:a16="http://schemas.microsoft.com/office/drawing/2014/main" id="{02E677B1-F2A0-7650-4F9F-71B8AB501836}"/>
            </a:ext>
          </a:extLst>
        </xdr:cNvPr>
        <xdr:cNvPicPr>
          <a:picLocks noChangeAspect="1"/>
        </xdr:cNvPicPr>
      </xdr:nvPicPr>
      <xdr:blipFill>
        <a:blip xmlns:r="http://schemas.openxmlformats.org/officeDocument/2006/relationships" r:embed="rId1"/>
        <a:stretch>
          <a:fillRect/>
        </a:stretch>
      </xdr:blipFill>
      <xdr:spPr>
        <a:xfrm>
          <a:off x="9152708" y="27209931"/>
          <a:ext cx="4640223" cy="2582109"/>
        </a:xfrm>
        <a:prstGeom prst="rect">
          <a:avLst/>
        </a:prstGeom>
      </xdr:spPr>
    </xdr:pic>
    <xdr:clientData/>
  </xdr:twoCellAnchor>
  <xdr:twoCellAnchor editAs="oneCell">
    <xdr:from>
      <xdr:col>4</xdr:col>
      <xdr:colOff>99810</xdr:colOff>
      <xdr:row>74</xdr:row>
      <xdr:rowOff>15241</xdr:rowOff>
    </xdr:from>
    <xdr:to>
      <xdr:col>5</xdr:col>
      <xdr:colOff>186527</xdr:colOff>
      <xdr:row>86</xdr:row>
      <xdr:rowOff>152399</xdr:rowOff>
    </xdr:to>
    <xdr:pic>
      <xdr:nvPicPr>
        <xdr:cNvPr id="4" name="Picture 3">
          <a:extLst>
            <a:ext uri="{FF2B5EF4-FFF2-40B4-BE49-F238E27FC236}">
              <a16:creationId xmlns:a16="http://schemas.microsoft.com/office/drawing/2014/main" id="{F553C4BB-2BC5-77B7-4FD6-7C1018C18FF2}"/>
            </a:ext>
          </a:extLst>
        </xdr:cNvPr>
        <xdr:cNvPicPr>
          <a:picLocks noChangeAspect="1"/>
        </xdr:cNvPicPr>
      </xdr:nvPicPr>
      <xdr:blipFill>
        <a:blip xmlns:r="http://schemas.openxmlformats.org/officeDocument/2006/relationships" r:embed="rId2"/>
        <a:stretch>
          <a:fillRect/>
        </a:stretch>
      </xdr:blipFill>
      <xdr:spPr>
        <a:xfrm>
          <a:off x="13015710" y="21572221"/>
          <a:ext cx="4063268" cy="23317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10</xdr:row>
          <xdr:rowOff>174171</xdr:rowOff>
        </xdr:from>
        <xdr:to>
          <xdr:col>8</xdr:col>
          <xdr:colOff>604157</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21</xdr:row>
          <xdr:rowOff>157843</xdr:rowOff>
        </xdr:from>
        <xdr:to>
          <xdr:col>8</xdr:col>
          <xdr:colOff>604157</xdr:colOff>
          <xdr:row>22</xdr:row>
          <xdr:rowOff>174171</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5443</xdr:colOff>
          <xdr:row>35</xdr:row>
          <xdr:rowOff>168729</xdr:rowOff>
        </xdr:from>
        <xdr:to>
          <xdr:col>9</xdr:col>
          <xdr:colOff>0</xdr:colOff>
          <xdr:row>37</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32657</xdr:colOff>
          <xdr:row>94</xdr:row>
          <xdr:rowOff>168729</xdr:rowOff>
        </xdr:from>
        <xdr:to>
          <xdr:col>7</xdr:col>
          <xdr:colOff>631371</xdr:colOff>
          <xdr:row>96</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702129</xdr:colOff>
          <xdr:row>43</xdr:row>
          <xdr:rowOff>157843</xdr:rowOff>
        </xdr:from>
        <xdr:to>
          <xdr:col>8</xdr:col>
          <xdr:colOff>593271</xdr:colOff>
          <xdr:row>44</xdr:row>
          <xdr:rowOff>174171</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5443</xdr:colOff>
          <xdr:row>56</xdr:row>
          <xdr:rowOff>168729</xdr:rowOff>
        </xdr:from>
        <xdr:to>
          <xdr:col>9</xdr:col>
          <xdr:colOff>0</xdr:colOff>
          <xdr:row>58</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702129</xdr:colOff>
          <xdr:row>64</xdr:row>
          <xdr:rowOff>157843</xdr:rowOff>
        </xdr:from>
        <xdr:to>
          <xdr:col>8</xdr:col>
          <xdr:colOff>593271</xdr:colOff>
          <xdr:row>65</xdr:row>
          <xdr:rowOff>174171</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75</xdr:row>
          <xdr:rowOff>168729</xdr:rowOff>
        </xdr:from>
        <xdr:to>
          <xdr:col>8</xdr:col>
          <xdr:colOff>604157</xdr:colOff>
          <xdr:row>77</xdr:row>
          <xdr:rowOff>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My%20Drive\Thesis\lookups.xlsx" TargetMode="External"/><Relationship Id="rId1" Type="http://schemas.openxmlformats.org/officeDocument/2006/relationships/externalLinkPath" Target="looku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tents"/>
      <sheetName val="MARS_lookups"/>
      <sheetName val="effect_lookups"/>
      <sheetName val="scenario_switches"/>
    </sheetNames>
    <sheetDataSet>
      <sheetData sheetId="0"/>
      <sheetData sheetId="1">
        <row r="10">
          <cell r="D10" t="str">
            <v>Physical time</v>
          </cell>
          <cell r="E10" t="str">
            <v>In vehicle time</v>
          </cell>
          <cell r="F10" t="str">
            <v>Parking search and out vehicle time</v>
          </cell>
        </row>
        <row r="11">
          <cell r="D11">
            <v>0</v>
          </cell>
          <cell r="E11">
            <v>0</v>
          </cell>
          <cell r="F11">
            <v>0</v>
          </cell>
        </row>
        <row r="12">
          <cell r="D12">
            <v>1</v>
          </cell>
          <cell r="E12">
            <v>1</v>
          </cell>
          <cell r="F12">
            <v>2.0002225540928493</v>
          </cell>
        </row>
        <row r="13">
          <cell r="D13">
            <v>2</v>
          </cell>
          <cell r="E13">
            <v>2</v>
          </cell>
          <cell r="F13">
            <v>4.000990606484879</v>
          </cell>
        </row>
        <row r="14">
          <cell r="D14">
            <v>3</v>
          </cell>
          <cell r="E14">
            <v>3</v>
          </cell>
          <cell r="F14">
            <v>6.0033069529141923</v>
          </cell>
        </row>
        <row r="15">
          <cell r="D15">
            <v>4</v>
          </cell>
          <cell r="E15">
            <v>4</v>
          </cell>
          <cell r="F15">
            <v>8.009813012078844</v>
          </cell>
        </row>
        <row r="16">
          <cell r="D16">
            <v>5</v>
          </cell>
          <cell r="E16">
            <v>5</v>
          </cell>
          <cell r="F16">
            <v>10.027299075016572</v>
          </cell>
        </row>
        <row r="17">
          <cell r="D17">
            <v>6</v>
          </cell>
          <cell r="E17">
            <v>6</v>
          </cell>
          <cell r="F17">
            <v>12.07290625051124</v>
          </cell>
        </row>
        <row r="18">
          <cell r="D18">
            <v>7</v>
          </cell>
          <cell r="E18">
            <v>7</v>
          </cell>
          <cell r="F18">
            <v>14.189298485198307</v>
          </cell>
        </row>
        <row r="19">
          <cell r="D19">
            <v>8</v>
          </cell>
          <cell r="E19">
            <v>8</v>
          </cell>
          <cell r="F19">
            <v>16.481476030297667</v>
          </cell>
        </row>
        <row r="20">
          <cell r="D20">
            <v>9</v>
          </cell>
          <cell r="E20">
            <v>9</v>
          </cell>
          <cell r="F20">
            <v>19.205487687954978</v>
          </cell>
        </row>
        <row r="21">
          <cell r="D21">
            <v>10</v>
          </cell>
          <cell r="E21">
            <v>10</v>
          </cell>
          <cell r="F21">
            <v>22.98095798704173</v>
          </cell>
        </row>
        <row r="22">
          <cell r="D22">
            <v>10.5</v>
          </cell>
          <cell r="E22">
            <v>10.5</v>
          </cell>
          <cell r="F22">
            <v>25.669420085084852</v>
          </cell>
        </row>
        <row r="23">
          <cell r="D23">
            <v>11</v>
          </cell>
          <cell r="E23">
            <v>11</v>
          </cell>
          <cell r="F23">
            <v>29.297668406905675</v>
          </cell>
        </row>
        <row r="24">
          <cell r="D24">
            <v>11.5</v>
          </cell>
          <cell r="E24">
            <v>11.5</v>
          </cell>
          <cell r="F24">
            <v>34.381698417555519</v>
          </cell>
        </row>
        <row r="25">
          <cell r="D25">
            <v>12</v>
          </cell>
          <cell r="E25">
            <v>12</v>
          </cell>
          <cell r="F25">
            <v>41.717737878692759</v>
          </cell>
        </row>
        <row r="26">
          <cell r="D26">
            <v>12.5</v>
          </cell>
          <cell r="E26">
            <v>12.5</v>
          </cell>
          <cell r="F26">
            <v>52.533082243508403</v>
          </cell>
        </row>
        <row r="27">
          <cell r="D27">
            <v>13</v>
          </cell>
          <cell r="E27">
            <v>13</v>
          </cell>
          <cell r="F27">
            <v>68.717513376776324</v>
          </cell>
        </row>
        <row r="28">
          <cell r="D28">
            <v>13.5</v>
          </cell>
          <cell r="E28">
            <v>13.5</v>
          </cell>
          <cell r="F28">
            <v>93.178081534115364</v>
          </cell>
        </row>
        <row r="29">
          <cell r="D29">
            <v>14</v>
          </cell>
          <cell r="E29">
            <v>14</v>
          </cell>
          <cell r="F29">
            <v>130.38261856678182</v>
          </cell>
        </row>
        <row r="30">
          <cell r="D30">
            <v>14.5</v>
          </cell>
          <cell r="E30">
            <v>14.5</v>
          </cell>
          <cell r="F30">
            <v>145</v>
          </cell>
        </row>
        <row r="31">
          <cell r="D31">
            <v>15</v>
          </cell>
          <cell r="E31">
            <v>15</v>
          </cell>
          <cell r="F31">
            <v>155</v>
          </cell>
        </row>
        <row r="32">
          <cell r="D32">
            <v>15.5</v>
          </cell>
          <cell r="E32">
            <v>15.5</v>
          </cell>
          <cell r="F32">
            <v>160</v>
          </cell>
        </row>
        <row r="33">
          <cell r="D33">
            <v>16</v>
          </cell>
          <cell r="E33">
            <v>16</v>
          </cell>
          <cell r="F33">
            <v>162</v>
          </cell>
        </row>
        <row r="34">
          <cell r="D34">
            <v>25</v>
          </cell>
          <cell r="E34">
            <v>25</v>
          </cell>
          <cell r="F34">
            <v>162</v>
          </cell>
        </row>
        <row r="39">
          <cell r="D39" t="str">
            <v>Physical time</v>
          </cell>
          <cell r="E39" t="str">
            <v>In vehicle time</v>
          </cell>
          <cell r="F39" t="str">
            <v>Access/egress time</v>
          </cell>
          <cell r="G39" t="str">
            <v>Changing time</v>
          </cell>
          <cell r="H39" t="str">
            <v>Waiting time</v>
          </cell>
        </row>
        <row r="40">
          <cell r="D40">
            <v>0</v>
          </cell>
          <cell r="E40">
            <v>0</v>
          </cell>
          <cell r="F40">
            <v>0.84367400000000004</v>
          </cell>
          <cell r="G40">
            <v>0</v>
          </cell>
          <cell r="H40">
            <v>0</v>
          </cell>
        </row>
        <row r="41">
          <cell r="D41">
            <v>1</v>
          </cell>
          <cell r="E41">
            <v>1</v>
          </cell>
          <cell r="F41">
            <v>0.95584800616759935</v>
          </cell>
          <cell r="G41">
            <v>1.2643572240560534</v>
          </cell>
          <cell r="H41">
            <v>1.5069307673213665</v>
          </cell>
        </row>
        <row r="42">
          <cell r="D42">
            <v>2</v>
          </cell>
          <cell r="E42">
            <v>2</v>
          </cell>
          <cell r="F42">
            <v>2.2277251675669065</v>
          </cell>
          <cell r="G42">
            <v>3.1000006080793923</v>
          </cell>
          <cell r="H42">
            <v>3.6000014418211586</v>
          </cell>
        </row>
        <row r="43">
          <cell r="D43">
            <v>2.5</v>
          </cell>
          <cell r="E43">
            <v>2.5</v>
          </cell>
          <cell r="F43">
            <v>3.0391164432735378</v>
          </cell>
          <cell r="G43">
            <v>4.3264672142909877</v>
          </cell>
          <cell r="H43">
            <v>4.9716446543187702</v>
          </cell>
        </row>
        <row r="44">
          <cell r="D44">
            <v>3</v>
          </cell>
          <cell r="E44">
            <v>3</v>
          </cell>
          <cell r="F44">
            <v>4.0093522609412302</v>
          </cell>
          <cell r="G44">
            <v>5.8265693156642948</v>
          </cell>
          <cell r="H44">
            <v>6.6374095073949544</v>
          </cell>
        </row>
        <row r="45">
          <cell r="D45">
            <v>3.5</v>
          </cell>
          <cell r="E45">
            <v>3.5</v>
          </cell>
          <cell r="F45">
            <v>5.1794028246409782</v>
          </cell>
          <cell r="G45">
            <v>7.6654763810716382</v>
          </cell>
          <cell r="H45">
            <v>8.6729561827074448</v>
          </cell>
        </row>
        <row r="46">
          <cell r="D46">
            <v>4</v>
          </cell>
          <cell r="E46">
            <v>4</v>
          </cell>
          <cell r="F46">
            <v>6.600003585466931</v>
          </cell>
          <cell r="G46">
            <v>9.922671987525618</v>
          </cell>
          <cell r="H46">
            <v>11.171929333684503</v>
          </cell>
        </row>
        <row r="47">
          <cell r="D47">
            <v>4.5</v>
          </cell>
          <cell r="E47">
            <v>4.5</v>
          </cell>
          <cell r="F47">
            <v>8.3338742012118452</v>
          </cell>
          <cell r="G47">
            <v>12.694948362585446</v>
          </cell>
          <cell r="H47">
            <v>14.250033439590618</v>
          </cell>
        </row>
        <row r="48">
          <cell r="D48">
            <v>5</v>
          </cell>
          <cell r="E48">
            <v>5</v>
          </cell>
          <cell r="F48">
            <v>10.458425802242385</v>
          </cell>
          <cell r="G48">
            <v>16.100007316942623</v>
          </cell>
          <cell r="H48">
            <v>18.050002498548739</v>
          </cell>
        </row>
        <row r="49">
          <cell r="D49">
            <v>5.5</v>
          </cell>
          <cell r="E49">
            <v>5.5</v>
          </cell>
          <cell r="F49">
            <v>13.069061575902825</v>
          </cell>
          <cell r="G49">
            <v>20.280787529583623</v>
          </cell>
          <cell r="H49">
            <v>22.74765585555059</v>
          </cell>
        </row>
        <row r="50">
          <cell r="D50">
            <v>6</v>
          </cell>
          <cell r="E50">
            <v>6</v>
          </cell>
          <cell r="F50">
            <v>16.283197877185238</v>
          </cell>
          <cell r="G50">
            <v>25.410661467773384</v>
          </cell>
          <cell r="H50">
            <v>28.559272386384698</v>
          </cell>
        </row>
        <row r="51">
          <cell r="D51">
            <v>6.5</v>
          </cell>
          <cell r="E51">
            <v>6.5</v>
          </cell>
          <cell r="F51">
            <v>20.245159897044029</v>
          </cell>
          <cell r="G51">
            <v>31.699673015675064</v>
          </cell>
          <cell r="H51">
            <v>35.750564089227886</v>
          </cell>
        </row>
        <row r="52">
          <cell r="D52">
            <v>7</v>
          </cell>
          <cell r="E52">
            <v>7</v>
          </cell>
          <cell r="F52">
            <v>25.132138326283659</v>
          </cell>
          <cell r="G52">
            <v>39.402019996869384</v>
          </cell>
          <cell r="H52">
            <v>44.647589101444524</v>
          </cell>
        </row>
        <row r="53">
          <cell r="D53">
            <v>7.5</v>
          </cell>
          <cell r="E53">
            <v>7.5</v>
          </cell>
          <cell r="F53">
            <v>31.161432592272721</v>
          </cell>
          <cell r="G53">
            <v>48.825025214944027</v>
          </cell>
          <cell r="H53">
            <v>55.650015341495937</v>
          </cell>
        </row>
        <row r="54">
          <cell r="D54">
            <v>8</v>
          </cell>
          <cell r="E54">
            <v>8</v>
          </cell>
          <cell r="F54">
            <v>38.59925350249091</v>
          </cell>
          <cell r="G54">
            <v>60.339886599452377</v>
          </cell>
          <cell r="H54">
            <v>69.247231880208702</v>
          </cell>
        </row>
        <row r="55">
          <cell r="D55">
            <v>8.5</v>
          </cell>
          <cell r="E55">
            <v>8.5</v>
          </cell>
          <cell r="F55">
            <v>47.771415170140742</v>
          </cell>
          <cell r="G55">
            <v>74.394552953095697</v>
          </cell>
          <cell r="H55">
            <v>86.037908786946076</v>
          </cell>
        </row>
        <row r="56">
          <cell r="D56">
            <v>9</v>
          </cell>
          <cell r="E56">
            <v>9</v>
          </cell>
          <cell r="F56">
            <v>59.076314929374334</v>
          </cell>
          <cell r="G56">
            <v>91.529138337400838</v>
          </cell>
          <cell r="H56">
            <v>106.75373120186424</v>
          </cell>
        </row>
        <row r="57">
          <cell r="D57">
            <v>9.5</v>
          </cell>
          <cell r="E57">
            <v>9.5</v>
          </cell>
          <cell r="F57">
            <v>73.000682985993421</v>
          </cell>
          <cell r="G57">
            <v>112.39436731164743</v>
          </cell>
          <cell r="H57">
            <v>132.28818411879314</v>
          </cell>
        </row>
        <row r="58">
          <cell r="D58">
            <v>10</v>
          </cell>
          <cell r="E58">
            <v>10</v>
          </cell>
          <cell r="F58">
            <v>90.138683699468601</v>
          </cell>
          <cell r="G58">
            <v>137.77363743099787</v>
          </cell>
          <cell r="H58">
            <v>163.73144607205813</v>
          </cell>
        </row>
      </sheetData>
      <sheetData sheetId="2">
        <row r="15">
          <cell r="C15" t="str">
            <v>Added effect on bike subjective travel time</v>
          </cell>
        </row>
        <row r="16">
          <cell r="B16">
            <v>0</v>
          </cell>
          <cell r="C16">
            <v>0.1</v>
          </cell>
        </row>
        <row r="17">
          <cell r="B17">
            <v>0.2</v>
          </cell>
          <cell r="C17">
            <v>9.6000000000000002E-2</v>
          </cell>
        </row>
        <row r="18">
          <cell r="B18">
            <v>0.4</v>
          </cell>
          <cell r="C18">
            <v>8.4000000000000005E-2</v>
          </cell>
        </row>
        <row r="19">
          <cell r="B19">
            <v>0.60000000000000009</v>
          </cell>
          <cell r="C19">
            <v>6.4000000000000001E-2</v>
          </cell>
        </row>
        <row r="20">
          <cell r="B20">
            <v>0.8</v>
          </cell>
          <cell r="C20">
            <v>3.599999999999999E-2</v>
          </cell>
        </row>
        <row r="21">
          <cell r="B21">
            <v>1</v>
          </cell>
          <cell r="C21">
            <v>0</v>
          </cell>
        </row>
        <row r="22">
          <cell r="B22">
            <v>1.3</v>
          </cell>
          <cell r="C22">
            <v>-3.599999999999999E-2</v>
          </cell>
        </row>
        <row r="23">
          <cell r="B23">
            <v>1.6</v>
          </cell>
          <cell r="C23">
            <v>-8.5000000000000006E-2</v>
          </cell>
        </row>
        <row r="24">
          <cell r="B24">
            <v>1.9000000000000001</v>
          </cell>
          <cell r="C24">
            <v>-0.14000000000000001</v>
          </cell>
        </row>
        <row r="25">
          <cell r="B25">
            <v>2.2000000000000002</v>
          </cell>
          <cell r="C25">
            <v>-0.19</v>
          </cell>
        </row>
        <row r="26">
          <cell r="B26">
            <v>2.5</v>
          </cell>
          <cell r="C26">
            <v>-0.2</v>
          </cell>
        </row>
        <row r="27">
          <cell r="B27">
            <v>6</v>
          </cell>
          <cell r="C27">
            <v>-0.2</v>
          </cell>
        </row>
        <row r="39">
          <cell r="C39" t="str">
            <v>Added effect on bike subjective travel time</v>
          </cell>
        </row>
        <row r="40">
          <cell r="B40">
            <v>0</v>
          </cell>
          <cell r="C40">
            <v>-0.05</v>
          </cell>
        </row>
        <row r="41">
          <cell r="B41">
            <v>0.2</v>
          </cell>
          <cell r="C41">
            <v>-4.8000000000000001E-2</v>
          </cell>
        </row>
        <row r="42">
          <cell r="B42">
            <v>0.4</v>
          </cell>
          <cell r="C42">
            <v>-4.2000000000000003E-2</v>
          </cell>
        </row>
        <row r="43">
          <cell r="B43">
            <v>0.60000000000000009</v>
          </cell>
          <cell r="C43">
            <v>-3.2000000000000001E-2</v>
          </cell>
        </row>
        <row r="44">
          <cell r="B44">
            <v>0.8</v>
          </cell>
          <cell r="C44">
            <v>-1.7999999999999995E-2</v>
          </cell>
        </row>
        <row r="45">
          <cell r="B45">
            <v>1</v>
          </cell>
          <cell r="C45">
            <v>0</v>
          </cell>
        </row>
        <row r="46">
          <cell r="B46">
            <v>1.1000000000000001</v>
          </cell>
          <cell r="C46">
            <v>1.7999999999999995E-2</v>
          </cell>
        </row>
        <row r="47">
          <cell r="B47">
            <v>1.2</v>
          </cell>
          <cell r="C47">
            <v>3.2000000000000001E-2</v>
          </cell>
        </row>
        <row r="48">
          <cell r="B48">
            <v>1.3</v>
          </cell>
          <cell r="C48">
            <v>4.2000000000000003E-2</v>
          </cell>
        </row>
        <row r="49">
          <cell r="B49">
            <v>1.4</v>
          </cell>
          <cell r="C49">
            <v>4.8000000000000001E-2</v>
          </cell>
        </row>
        <row r="50">
          <cell r="B50">
            <v>1.5999999999999999</v>
          </cell>
          <cell r="C50">
            <v>0.05</v>
          </cell>
        </row>
        <row r="62">
          <cell r="C62" t="str">
            <v>Added effect on bike subjective travel time</v>
          </cell>
        </row>
        <row r="64">
          <cell r="B64">
            <v>0.42</v>
          </cell>
          <cell r="C64">
            <v>-0.1</v>
          </cell>
        </row>
        <row r="65">
          <cell r="B65">
            <v>0.53600000000000003</v>
          </cell>
          <cell r="C65">
            <v>-0.09</v>
          </cell>
        </row>
        <row r="66">
          <cell r="B66">
            <v>0.65200000000000002</v>
          </cell>
          <cell r="C66">
            <v>-7.4999999999999997E-2</v>
          </cell>
        </row>
        <row r="67">
          <cell r="B67">
            <v>0.76800000000000002</v>
          </cell>
          <cell r="C67">
            <v>-5.5E-2</v>
          </cell>
        </row>
        <row r="68">
          <cell r="B68">
            <v>0.88400000000000001</v>
          </cell>
          <cell r="C68">
            <v>-0.03</v>
          </cell>
        </row>
        <row r="69">
          <cell r="B69">
            <v>1</v>
          </cell>
          <cell r="C69">
            <v>0</v>
          </cell>
        </row>
        <row r="70">
          <cell r="B70">
            <v>1.1339999999999999</v>
          </cell>
          <cell r="C70">
            <v>0.03</v>
          </cell>
        </row>
        <row r="71">
          <cell r="B71">
            <v>1.2679999999999998</v>
          </cell>
          <cell r="C71">
            <v>6.5000000000000002E-2</v>
          </cell>
        </row>
        <row r="72">
          <cell r="B72">
            <v>1.4019999999999997</v>
          </cell>
          <cell r="C72">
            <v>0.1</v>
          </cell>
        </row>
        <row r="73">
          <cell r="B73">
            <v>1.5359999999999996</v>
          </cell>
          <cell r="C73">
            <v>0.14499999999999999</v>
          </cell>
        </row>
        <row r="74">
          <cell r="B74">
            <v>1.67</v>
          </cell>
          <cell r="C74">
            <v>0.2</v>
          </cell>
        </row>
        <row r="87">
          <cell r="C87" t="str">
            <v>Added effect on bike subjective travel time</v>
          </cell>
        </row>
        <row r="88">
          <cell r="B88">
            <v>0</v>
          </cell>
          <cell r="C88">
            <v>1.5</v>
          </cell>
        </row>
        <row r="89">
          <cell r="B89">
            <v>0.2</v>
          </cell>
          <cell r="C89">
            <v>1.48</v>
          </cell>
        </row>
        <row r="90">
          <cell r="B90">
            <v>0.4</v>
          </cell>
          <cell r="C90">
            <v>1.42</v>
          </cell>
        </row>
        <row r="91">
          <cell r="B91">
            <v>0.60000000000000009</v>
          </cell>
          <cell r="C91">
            <v>1.3199999999999998</v>
          </cell>
        </row>
        <row r="92">
          <cell r="B92">
            <v>0.8</v>
          </cell>
          <cell r="C92">
            <v>1.18</v>
          </cell>
        </row>
        <row r="93">
          <cell r="B93">
            <v>1</v>
          </cell>
          <cell r="C93">
            <v>1</v>
          </cell>
        </row>
        <row r="94">
          <cell r="B94">
            <v>1.3</v>
          </cell>
          <cell r="C94">
            <v>0.92800000000000005</v>
          </cell>
        </row>
        <row r="95">
          <cell r="B95">
            <v>1.6</v>
          </cell>
          <cell r="C95">
            <v>0.87200000000000011</v>
          </cell>
        </row>
        <row r="96">
          <cell r="B96">
            <v>1.9000000000000001</v>
          </cell>
          <cell r="C96">
            <v>0.83200000000000007</v>
          </cell>
        </row>
        <row r="97">
          <cell r="B97">
            <v>2.2000000000000002</v>
          </cell>
          <cell r="C97">
            <v>0.80800000000000005</v>
          </cell>
        </row>
        <row r="98">
          <cell r="B98">
            <v>2.5</v>
          </cell>
          <cell r="C98">
            <v>0.8</v>
          </cell>
        </row>
        <row r="111">
          <cell r="C111" t="str">
            <v>Effect on car network distance</v>
          </cell>
        </row>
        <row r="112">
          <cell r="C112">
            <v>1.5</v>
          </cell>
        </row>
        <row r="113">
          <cell r="C113">
            <v>1.48</v>
          </cell>
        </row>
        <row r="114">
          <cell r="C114">
            <v>1.42</v>
          </cell>
        </row>
        <row r="115">
          <cell r="C115">
            <v>1.3199999999999998</v>
          </cell>
        </row>
        <row r="116">
          <cell r="C116">
            <v>1.18</v>
          </cell>
        </row>
        <row r="117">
          <cell r="C117">
            <v>1</v>
          </cell>
        </row>
        <row r="118">
          <cell r="C118">
            <v>0.94217177125722862</v>
          </cell>
        </row>
        <row r="119">
          <cell r="C119">
            <v>0.89719426001285085</v>
          </cell>
        </row>
        <row r="120">
          <cell r="C120">
            <v>0.8650674662668667</v>
          </cell>
        </row>
        <row r="121">
          <cell r="C121">
            <v>0.84579139001927617</v>
          </cell>
        </row>
        <row r="122">
          <cell r="C122">
            <v>0.83936603127007936</v>
          </cell>
        </row>
        <row r="123">
          <cell r="C123">
            <v>0.83936603127007936</v>
          </cell>
        </row>
        <row r="135">
          <cell r="C135" t="str">
            <v>Efect on contact fruitfulness</v>
          </cell>
        </row>
        <row r="136">
          <cell r="C136">
            <v>0</v>
          </cell>
        </row>
        <row r="137">
          <cell r="C137">
            <v>4.0000000000000008E-2</v>
          </cell>
        </row>
        <row r="138">
          <cell r="C138">
            <v>0.16000000000000003</v>
          </cell>
        </row>
        <row r="139">
          <cell r="C139">
            <v>0.3600000000000001</v>
          </cell>
        </row>
        <row r="140">
          <cell r="C140">
            <v>0.64000000000000012</v>
          </cell>
        </row>
        <row r="141">
          <cell r="C141">
            <v>1</v>
          </cell>
        </row>
        <row r="142">
          <cell r="C142">
            <v>1.3599999999999999</v>
          </cell>
        </row>
        <row r="143">
          <cell r="C143">
            <v>1.64</v>
          </cell>
        </row>
        <row r="144">
          <cell r="C144">
            <v>1.8399999999999999</v>
          </cell>
        </row>
        <row r="145">
          <cell r="C145">
            <v>1.96</v>
          </cell>
        </row>
        <row r="146">
          <cell r="C146">
            <v>2</v>
          </cell>
        </row>
        <row r="159">
          <cell r="C159" t="str">
            <v>Efect on bike subjective travel time</v>
          </cell>
        </row>
        <row r="160">
          <cell r="C160">
            <v>0</v>
          </cell>
        </row>
        <row r="161">
          <cell r="C161">
            <v>4.0000000000000008E-2</v>
          </cell>
        </row>
        <row r="162">
          <cell r="C162">
            <v>0.16000000000000003</v>
          </cell>
        </row>
        <row r="163">
          <cell r="C163">
            <v>0.3600000000000001</v>
          </cell>
        </row>
        <row r="164">
          <cell r="C164">
            <v>0.64000000000000012</v>
          </cell>
        </row>
        <row r="165">
          <cell r="C165">
            <v>1</v>
          </cell>
        </row>
        <row r="166">
          <cell r="C166">
            <v>1.3599999999999999</v>
          </cell>
        </row>
        <row r="167">
          <cell r="C167">
            <v>1.64</v>
          </cell>
        </row>
        <row r="168">
          <cell r="C168">
            <v>1.8399999999999999</v>
          </cell>
        </row>
        <row r="169">
          <cell r="C169">
            <v>1.96</v>
          </cell>
        </row>
        <row r="170">
          <cell r="C170">
            <v>2</v>
          </cell>
        </row>
        <row r="182">
          <cell r="C182" t="str">
            <v>Efect on PT access egress time</v>
          </cell>
        </row>
        <row r="183">
          <cell r="C183">
            <v>4</v>
          </cell>
        </row>
        <row r="184">
          <cell r="C184">
            <v>3.88</v>
          </cell>
        </row>
        <row r="185">
          <cell r="C185">
            <v>3.52</v>
          </cell>
        </row>
        <row r="186">
          <cell r="C186">
            <v>2.92</v>
          </cell>
        </row>
        <row r="187">
          <cell r="C187">
            <v>2.0799999999999996</v>
          </cell>
        </row>
        <row r="188">
          <cell r="C188">
            <v>1</v>
          </cell>
        </row>
        <row r="189">
          <cell r="C189">
            <v>0.82000000000000006</v>
          </cell>
        </row>
        <row r="190">
          <cell r="C190">
            <v>0.68</v>
          </cell>
        </row>
        <row r="191">
          <cell r="C191">
            <v>0.58000000000000007</v>
          </cell>
        </row>
        <row r="192">
          <cell r="C192">
            <v>0.52000000000000013</v>
          </cell>
        </row>
        <row r="193">
          <cell r="C193">
            <v>0.50000000000000011</v>
          </cell>
        </row>
        <row r="206">
          <cell r="B206">
            <v>0</v>
          </cell>
          <cell r="C206">
            <v>0.66666666666666674</v>
          </cell>
        </row>
        <row r="207">
          <cell r="B207">
            <v>0.2</v>
          </cell>
          <cell r="C207">
            <v>0.68</v>
          </cell>
        </row>
        <row r="208">
          <cell r="B208">
            <v>0.4</v>
          </cell>
          <cell r="C208">
            <v>0.72000000000000008</v>
          </cell>
        </row>
        <row r="209">
          <cell r="B209">
            <v>0.60000000000000009</v>
          </cell>
          <cell r="C209">
            <v>0.78666666666666674</v>
          </cell>
        </row>
        <row r="210">
          <cell r="B210">
            <v>0.8</v>
          </cell>
          <cell r="C210">
            <v>0.88000000000000012</v>
          </cell>
        </row>
        <row r="211">
          <cell r="B211">
            <v>1</v>
          </cell>
          <cell r="C211">
            <v>1</v>
          </cell>
        </row>
        <row r="212">
          <cell r="B212">
            <v>1.169</v>
          </cell>
          <cell r="C212">
            <v>1.1199999999999999</v>
          </cell>
        </row>
        <row r="213">
          <cell r="B213">
            <v>1.3380000000000001</v>
          </cell>
          <cell r="C213">
            <v>1.2133333333333334</v>
          </cell>
        </row>
        <row r="214">
          <cell r="B214">
            <v>1.5069999999999999</v>
          </cell>
          <cell r="C214">
            <v>1.28</v>
          </cell>
        </row>
        <row r="215">
          <cell r="B215">
            <v>1.6759999999999999</v>
          </cell>
          <cell r="C215">
            <v>1.32</v>
          </cell>
        </row>
        <row r="216">
          <cell r="B216">
            <v>1.845</v>
          </cell>
          <cell r="C216">
            <v>1.3333333333333335</v>
          </cell>
        </row>
        <row r="229">
          <cell r="C229" t="str">
            <v>Parking search and egress time</v>
          </cell>
        </row>
        <row r="230">
          <cell r="B230">
            <v>0</v>
          </cell>
          <cell r="C230">
            <v>1.2301203760653721</v>
          </cell>
        </row>
        <row r="231">
          <cell r="B231">
            <v>0.2</v>
          </cell>
          <cell r="C231">
            <v>1.2209155610227571</v>
          </cell>
        </row>
        <row r="232">
          <cell r="B232">
            <v>0.4</v>
          </cell>
          <cell r="C232">
            <v>1.1933011158949125</v>
          </cell>
        </row>
        <row r="233">
          <cell r="B233">
            <v>0.60000000000000009</v>
          </cell>
          <cell r="C233">
            <v>1.147277040681838</v>
          </cell>
        </row>
        <row r="234">
          <cell r="B234">
            <v>0.8</v>
          </cell>
          <cell r="C234">
            <v>1.0828433353835338</v>
          </cell>
        </row>
        <row r="235">
          <cell r="B235">
            <v>1</v>
          </cell>
          <cell r="C235">
            <v>1</v>
          </cell>
        </row>
        <row r="236">
          <cell r="B236">
            <v>1.2</v>
          </cell>
          <cell r="C236">
            <v>0.91</v>
          </cell>
        </row>
        <row r="237">
          <cell r="B237">
            <v>1.4</v>
          </cell>
          <cell r="C237">
            <v>0.78</v>
          </cell>
        </row>
        <row r="238">
          <cell r="B238">
            <v>1.5999999999999999</v>
          </cell>
          <cell r="C238">
            <v>0.68</v>
          </cell>
        </row>
        <row r="239">
          <cell r="B239">
            <v>1.7999999999999998</v>
          </cell>
          <cell r="C239">
            <v>0.58000000000000007</v>
          </cell>
        </row>
        <row r="240">
          <cell r="B240">
            <v>1.9999999999999998</v>
          </cell>
          <cell r="C240">
            <v>0.52</v>
          </cell>
        </row>
        <row r="241">
          <cell r="B241">
            <v>2.2189999999999999</v>
          </cell>
          <cell r="C241">
            <v>0.43932870573763289</v>
          </cell>
        </row>
        <row r="242">
          <cell r="B242">
            <v>15</v>
          </cell>
          <cell r="C242">
            <v>0.43932870573763289</v>
          </cell>
        </row>
        <row r="254">
          <cell r="C254" t="str">
            <v xml:space="preserve">Car adoption </v>
          </cell>
        </row>
        <row r="255">
          <cell r="B255">
            <v>0</v>
          </cell>
          <cell r="C255">
            <v>1.3</v>
          </cell>
        </row>
        <row r="256">
          <cell r="B256">
            <v>0.5</v>
          </cell>
          <cell r="C256">
            <v>1.3</v>
          </cell>
        </row>
        <row r="257">
          <cell r="B257">
            <v>0.6</v>
          </cell>
          <cell r="C257">
            <v>1.29</v>
          </cell>
        </row>
        <row r="258">
          <cell r="B258">
            <v>0.7</v>
          </cell>
          <cell r="C258">
            <v>1.27</v>
          </cell>
        </row>
        <row r="259">
          <cell r="B259">
            <v>0.8</v>
          </cell>
          <cell r="C259">
            <v>1.23</v>
          </cell>
        </row>
        <row r="260">
          <cell r="B260">
            <v>0.9</v>
          </cell>
          <cell r="C260">
            <v>1.1299999999999999</v>
          </cell>
        </row>
        <row r="261">
          <cell r="B261">
            <v>1</v>
          </cell>
          <cell r="C261">
            <v>1</v>
          </cell>
        </row>
        <row r="262">
          <cell r="B262">
            <v>1.1000000000000001</v>
          </cell>
          <cell r="C262">
            <v>0.87</v>
          </cell>
        </row>
        <row r="263">
          <cell r="B263">
            <v>1.2000000000000002</v>
          </cell>
          <cell r="C263">
            <v>0.77</v>
          </cell>
        </row>
        <row r="264">
          <cell r="B264">
            <v>1.3000000000000003</v>
          </cell>
          <cell r="C264">
            <v>0.73</v>
          </cell>
        </row>
        <row r="265">
          <cell r="B265">
            <v>1.4000000000000004</v>
          </cell>
          <cell r="C265">
            <v>0.71</v>
          </cell>
        </row>
        <row r="266">
          <cell r="B266">
            <v>1.5000000000000004</v>
          </cell>
          <cell r="C266">
            <v>0.7</v>
          </cell>
        </row>
        <row r="267">
          <cell r="B267">
            <v>4</v>
          </cell>
          <cell r="C267">
            <v>0.7</v>
          </cell>
        </row>
        <row r="282">
          <cell r="C282" t="str">
            <v>Effect on population susceptible to cycling</v>
          </cell>
        </row>
        <row r="283">
          <cell r="B283">
            <v>0</v>
          </cell>
          <cell r="C283">
            <v>0.01</v>
          </cell>
        </row>
        <row r="284">
          <cell r="B284">
            <v>0.2</v>
          </cell>
          <cell r="C284">
            <v>4.0000000000000008E-2</v>
          </cell>
        </row>
        <row r="285">
          <cell r="B285">
            <v>0.4</v>
          </cell>
          <cell r="C285">
            <v>0.16000000000000003</v>
          </cell>
        </row>
        <row r="286">
          <cell r="B286">
            <v>0.60000000000000009</v>
          </cell>
          <cell r="C286">
            <v>0.3600000000000001</v>
          </cell>
        </row>
        <row r="287">
          <cell r="B287">
            <v>0.8</v>
          </cell>
          <cell r="C287">
            <v>0.64000000000000012</v>
          </cell>
        </row>
        <row r="288">
          <cell r="B288">
            <v>1</v>
          </cell>
          <cell r="C288">
            <v>1</v>
          </cell>
        </row>
        <row r="289">
          <cell r="B289">
            <v>1.2</v>
          </cell>
          <cell r="C289">
            <v>1.2034782608695651</v>
          </cell>
        </row>
        <row r="290">
          <cell r="B290">
            <v>1.4</v>
          </cell>
          <cell r="C290">
            <v>1.3617391304347826</v>
          </cell>
        </row>
        <row r="291">
          <cell r="B291">
            <v>1.5999999999999999</v>
          </cell>
          <cell r="C291">
            <v>1.4747826086956521</v>
          </cell>
        </row>
        <row r="292">
          <cell r="B292">
            <v>1.7999999999999998</v>
          </cell>
          <cell r="C292">
            <v>1.5426086956521738</v>
          </cell>
        </row>
        <row r="293">
          <cell r="B293">
            <v>1.9999999999999998</v>
          </cell>
          <cell r="C293">
            <v>1.5652173913043479</v>
          </cell>
        </row>
        <row r="294">
          <cell r="B294">
            <v>4</v>
          </cell>
          <cell r="C294">
            <v>1.5652173913043479</v>
          </cell>
        </row>
        <row r="299">
          <cell r="C299" t="str">
            <v>Effect on population susceptible to cycling</v>
          </cell>
        </row>
        <row r="300">
          <cell r="B300">
            <v>0</v>
          </cell>
          <cell r="C300">
            <v>0.01</v>
          </cell>
        </row>
        <row r="301">
          <cell r="B301">
            <v>0.2</v>
          </cell>
          <cell r="C301">
            <v>0.3</v>
          </cell>
        </row>
        <row r="302">
          <cell r="B302">
            <v>0.4</v>
          </cell>
          <cell r="C302">
            <v>0.55000000000000004</v>
          </cell>
        </row>
        <row r="303">
          <cell r="B303">
            <v>0.60000000000000009</v>
          </cell>
          <cell r="C303">
            <v>0.75</v>
          </cell>
        </row>
        <row r="304">
          <cell r="B304">
            <v>0.8</v>
          </cell>
          <cell r="C304">
            <v>0.95</v>
          </cell>
        </row>
        <row r="305">
          <cell r="B305">
            <v>1</v>
          </cell>
          <cell r="C305">
            <v>1</v>
          </cell>
        </row>
        <row r="306">
          <cell r="B306">
            <v>1.2</v>
          </cell>
          <cell r="C306">
            <v>1.1499999999999999</v>
          </cell>
        </row>
        <row r="307">
          <cell r="B307">
            <v>1.4</v>
          </cell>
          <cell r="C307">
            <v>1.4</v>
          </cell>
        </row>
        <row r="308">
          <cell r="B308">
            <v>1.5999999999999999</v>
          </cell>
          <cell r="C308">
            <v>1.8</v>
          </cell>
        </row>
        <row r="309">
          <cell r="B309">
            <v>1.7999999999999998</v>
          </cell>
          <cell r="C309">
            <v>2.6</v>
          </cell>
        </row>
        <row r="310">
          <cell r="B310">
            <v>1.9999999999999998</v>
          </cell>
          <cell r="C310">
            <v>2.85</v>
          </cell>
        </row>
        <row r="311">
          <cell r="B311">
            <v>2.25</v>
          </cell>
          <cell r="C311">
            <v>3</v>
          </cell>
        </row>
        <row r="312">
          <cell r="B312">
            <v>3</v>
          </cell>
          <cell r="C312">
            <v>3</v>
          </cell>
        </row>
        <row r="322">
          <cell r="C322" t="str">
            <v>Effect on construction rate</v>
          </cell>
        </row>
        <row r="323">
          <cell r="B323">
            <v>0</v>
          </cell>
          <cell r="C323">
            <v>1.67</v>
          </cell>
        </row>
        <row r="324">
          <cell r="B324">
            <v>0.1</v>
          </cell>
          <cell r="C324">
            <v>1.6633</v>
          </cell>
        </row>
        <row r="325">
          <cell r="B325">
            <v>0.2</v>
          </cell>
          <cell r="C325">
            <v>1.6432</v>
          </cell>
        </row>
        <row r="326">
          <cell r="B326">
            <v>0.3</v>
          </cell>
          <cell r="C326">
            <v>1.6096999999999999</v>
          </cell>
        </row>
        <row r="327">
          <cell r="B327">
            <v>0.4</v>
          </cell>
          <cell r="C327">
            <v>1.5628</v>
          </cell>
        </row>
        <row r="328">
          <cell r="B328">
            <v>0.5</v>
          </cell>
          <cell r="C328">
            <v>1.5024999999999999</v>
          </cell>
        </row>
        <row r="329">
          <cell r="B329">
            <v>0.6</v>
          </cell>
          <cell r="C329">
            <v>1.4287999999999998</v>
          </cell>
        </row>
        <row r="330">
          <cell r="B330">
            <v>0.7</v>
          </cell>
          <cell r="C330">
            <v>1.3416999999999999</v>
          </cell>
        </row>
        <row r="331">
          <cell r="B331">
            <v>0.8</v>
          </cell>
          <cell r="C331">
            <v>1.2411999999999999</v>
          </cell>
        </row>
        <row r="332">
          <cell r="B332">
            <v>0.9</v>
          </cell>
          <cell r="C332">
            <v>1.1273</v>
          </cell>
        </row>
        <row r="333">
          <cell r="B333">
            <v>1</v>
          </cell>
          <cell r="C333">
            <v>1</v>
          </cell>
        </row>
        <row r="334">
          <cell r="B334">
            <v>1.1000000000000001</v>
          </cell>
          <cell r="C334">
            <v>0.5</v>
          </cell>
        </row>
        <row r="335">
          <cell r="B335">
            <v>1.2</v>
          </cell>
          <cell r="C335">
            <v>0.1</v>
          </cell>
        </row>
        <row r="336">
          <cell r="B336">
            <v>1.3</v>
          </cell>
          <cell r="C336">
            <v>0</v>
          </cell>
        </row>
        <row r="337">
          <cell r="B337">
            <v>1.4</v>
          </cell>
          <cell r="C337">
            <v>0</v>
          </cell>
        </row>
        <row r="338">
          <cell r="B338">
            <v>2</v>
          </cell>
          <cell r="C338">
            <v>0</v>
          </cell>
        </row>
        <row r="350">
          <cell r="C350" t="str">
            <v>Immigration rate</v>
          </cell>
        </row>
        <row r="351">
          <cell r="B351">
            <v>0</v>
          </cell>
          <cell r="C351">
            <v>0</v>
          </cell>
        </row>
        <row r="352">
          <cell r="B352">
            <v>0.1</v>
          </cell>
          <cell r="C352">
            <v>0.19</v>
          </cell>
        </row>
        <row r="353">
          <cell r="B353">
            <v>0.2</v>
          </cell>
          <cell r="C353">
            <v>0.36</v>
          </cell>
        </row>
        <row r="354">
          <cell r="B354">
            <v>0.30000000000000004</v>
          </cell>
          <cell r="C354">
            <v>0.51</v>
          </cell>
        </row>
        <row r="355">
          <cell r="B355">
            <v>0.4</v>
          </cell>
          <cell r="C355">
            <v>0.64</v>
          </cell>
        </row>
        <row r="356">
          <cell r="B356">
            <v>0.5</v>
          </cell>
          <cell r="C356">
            <v>0.75</v>
          </cell>
        </row>
        <row r="357">
          <cell r="B357">
            <v>0.6</v>
          </cell>
          <cell r="C357">
            <v>0.84</v>
          </cell>
        </row>
        <row r="358">
          <cell r="B358">
            <v>0.7</v>
          </cell>
          <cell r="C358">
            <v>0.90999999999999992</v>
          </cell>
        </row>
        <row r="359">
          <cell r="B359">
            <v>0.79999999999999993</v>
          </cell>
          <cell r="C359">
            <v>0.96</v>
          </cell>
        </row>
        <row r="360">
          <cell r="B360">
            <v>0.89999999999999991</v>
          </cell>
          <cell r="C360">
            <v>0.99</v>
          </cell>
        </row>
        <row r="361">
          <cell r="B361">
            <v>0.99999999999999989</v>
          </cell>
          <cell r="C361">
            <v>1</v>
          </cell>
        </row>
        <row r="362">
          <cell r="B362">
            <v>2</v>
          </cell>
          <cell r="C362">
            <v>1</v>
          </cell>
        </row>
        <row r="374">
          <cell r="C374" t="str">
            <v>Construction rate</v>
          </cell>
        </row>
        <row r="375">
          <cell r="B375">
            <v>0</v>
          </cell>
          <cell r="C375">
            <v>1.5</v>
          </cell>
        </row>
        <row r="376">
          <cell r="B376">
            <v>0.5</v>
          </cell>
          <cell r="C376">
            <v>1.5</v>
          </cell>
        </row>
        <row r="377">
          <cell r="B377">
            <v>1</v>
          </cell>
          <cell r="C377">
            <v>1</v>
          </cell>
        </row>
        <row r="378">
          <cell r="B378">
            <v>2</v>
          </cell>
          <cell r="C378">
            <v>0.67</v>
          </cell>
        </row>
        <row r="379">
          <cell r="B379">
            <v>4</v>
          </cell>
          <cell r="C379">
            <v>0.44666666666666671</v>
          </cell>
        </row>
        <row r="380">
          <cell r="B380">
            <v>8</v>
          </cell>
          <cell r="C380">
            <v>0.29777777777777781</v>
          </cell>
        </row>
      </sheetData>
      <sheetData sheetId="3">
        <row r="6">
          <cell r="C6" t="str">
            <v>Share</v>
          </cell>
          <cell r="K6" t="str">
            <v>Share</v>
          </cell>
        </row>
        <row r="7">
          <cell r="B7">
            <v>2020</v>
          </cell>
          <cell r="C7">
            <v>0.03</v>
          </cell>
          <cell r="J7">
            <v>2020</v>
          </cell>
          <cell r="K7">
            <v>0.03</v>
          </cell>
        </row>
        <row r="8">
          <cell r="B8">
            <v>2030</v>
          </cell>
          <cell r="C8">
            <v>0.09</v>
          </cell>
          <cell r="J8">
            <v>2030</v>
          </cell>
          <cell r="K8">
            <v>0.09</v>
          </cell>
        </row>
        <row r="9">
          <cell r="B9">
            <v>2050</v>
          </cell>
          <cell r="C9">
            <v>0.27</v>
          </cell>
          <cell r="J9">
            <v>2050</v>
          </cell>
          <cell r="K9">
            <v>0.81</v>
          </cell>
        </row>
        <row r="10">
          <cell r="B10">
            <v>2060</v>
          </cell>
          <cell r="C10">
            <v>0.27</v>
          </cell>
          <cell r="J10">
            <v>2060</v>
          </cell>
          <cell r="K10">
            <v>0.81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www.insee.fr/fr/statistiques/2011101?geo=DEP-75" TargetMode="External"/><Relationship Id="rId3" Type="http://schemas.openxmlformats.org/officeDocument/2006/relationships/hyperlink" Target="https://www.insee.fr/fr/statistiques/2011101?geo=DEP-94" TargetMode="External"/><Relationship Id="rId7" Type="http://schemas.openxmlformats.org/officeDocument/2006/relationships/hyperlink" Target="https://www.apur.org/sites/default/files/migrations_residentielles.pdf?token=70JnEg46" TargetMode="External"/><Relationship Id="rId2" Type="http://schemas.openxmlformats.org/officeDocument/2006/relationships/hyperlink" Target="https://www.insee.fr/fr/statistiques/2011101?geo=DEP-93" TargetMode="External"/><Relationship Id="rId1" Type="http://schemas.openxmlformats.org/officeDocument/2006/relationships/hyperlink" Target="https://www.insee.fr/fr/statistiques/2011101?geo=DEP-92" TargetMode="External"/><Relationship Id="rId6" Type="http://schemas.openxmlformats.org/officeDocument/2006/relationships/hyperlink" Target="https://www.communes.com/departement-seine-saint-denis" TargetMode="External"/><Relationship Id="rId5" Type="http://schemas.openxmlformats.org/officeDocument/2006/relationships/hyperlink" Target="https://www.communes.com/departement-hauts-de-seine" TargetMode="External"/><Relationship Id="rId10" Type="http://schemas.openxmlformats.org/officeDocument/2006/relationships/hyperlink" Target="https://www.communes.com/departement-paris" TargetMode="External"/><Relationship Id="rId4" Type="http://schemas.openxmlformats.org/officeDocument/2006/relationships/hyperlink" Target="https://www.communes.com/departement-val-de-marne" TargetMode="External"/><Relationship Id="rId9" Type="http://schemas.openxmlformats.org/officeDocument/2006/relationships/hyperlink" Target="https://www.apur.org/sites/default/files/migrations_residentielles.pdf?token=70JnEg46"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barcelona.cat/mobilitat/sites/default/files/2024-06/240603_PMU2030_S10_EspaiP%C3%BAblic_Quotidiana_Seguretat.pdf" TargetMode="External"/><Relationship Id="rId7" Type="http://schemas.openxmlformats.org/officeDocument/2006/relationships/hyperlink" Target="https://carto-velo.iledefrance-mobilites.fr/fr/paris_75/facilities" TargetMode="External"/><Relationship Id="rId2" Type="http://schemas.openxmlformats.org/officeDocument/2006/relationships/hyperlink" Target="https://www.apur.org/fr/nos-travaux/evolution-stationnement-usages-espace-public" TargetMode="External"/><Relationship Id="rId1" Type="http://schemas.openxmlformats.org/officeDocument/2006/relationships/hyperlink" Target="https://www.apur.org/fr/nos-travaux/evolution-stationnement-usages-espace-public" TargetMode="External"/><Relationship Id="rId6" Type="http://schemas.openxmlformats.org/officeDocument/2006/relationships/hyperlink" Target="http://droitauvelo.free.fr/DOC/fh_conso_espace.pdf" TargetMode="External"/><Relationship Id="rId5" Type="http://schemas.openxmlformats.org/officeDocument/2006/relationships/hyperlink" Target="https://www-tandfonline-com.tudelft.idm.oclc.org/doi/full/10.1080/13574809.2019.1592664" TargetMode="External"/><Relationship Id="rId4" Type="http://schemas.openxmlformats.org/officeDocument/2006/relationships/hyperlink" Target="https://www.zukunftsnetz-mobilitaet.nrw.de/media/2023/2/7/2caea534db53a1220bc621d33344eb38/TU-Berlin-Flachengerechtigkeit-2022.pdf"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www.paris.fr/pages/un-plan-parisien-pour-donner-la-priorite-aux-pietons-25499" TargetMode="External"/><Relationship Id="rId1" Type="http://schemas.openxmlformats.org/officeDocument/2006/relationships/hyperlink" Target="https://www.paris.fr/pages/un-nouveau-plan-velo-pour-une-ville-100-cyclable-19554"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brtguide.itdp.org/branch/master/guide/bicycle-and-pedicab-integration/bicycle-systems" TargetMode="External"/><Relationship Id="rId7" Type="http://schemas.openxmlformats.org/officeDocument/2006/relationships/hyperlink" Target="https://www.insee.fr/fr/statistiques/2011101?geo=DEP-75" TargetMode="External"/><Relationship Id="rId2" Type="http://schemas.openxmlformats.org/officeDocument/2006/relationships/hyperlink" Target="https://opendata.paris.fr/explore/dataset/velib-disponibilite-en-temps-reel/information/?disjunctive.name&amp;disjunctive.is_installed&amp;disjunctive.is_renting&amp;disjunctive.is_returning&amp;disjunctive.nom_arrondissement_communes" TargetMode="External"/><Relationship Id="rId1" Type="http://schemas.openxmlformats.org/officeDocument/2006/relationships/hyperlink" Target="https://www.capital.fr/conso/velib-condition-abonnement-et-tarif-1479865" TargetMode="External"/><Relationship Id="rId6" Type="http://schemas.openxmlformats.org/officeDocument/2006/relationships/hyperlink" Target="https://www.data.gouv.fr/en/datasets/nombre-de-souscripteurs-veligo-location-par-commune/" TargetMode="External"/><Relationship Id="rId5" Type="http://schemas.openxmlformats.org/officeDocument/2006/relationships/hyperlink" Target="https://omnil.fr/medias/omnil/fdbd2e66-2ea9-47e6-a3a6-1d5d5de409a3_resultats_egt_h2020.pdf" TargetMode="External"/><Relationship Id="rId4" Type="http://schemas.openxmlformats.org/officeDocument/2006/relationships/hyperlink" Target="https://www.paris.fr/pages/test-stationner-son-velo-7525"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omni.wikiwand.com/fr/articles/MF_01" TargetMode="External"/><Relationship Id="rId3" Type="http://schemas.openxmlformats.org/officeDocument/2006/relationships/hyperlink" Target="https://omni.wikiwand.com/fr/articles/MP_05" TargetMode="External"/><Relationship Id="rId7" Type="http://schemas.openxmlformats.org/officeDocument/2006/relationships/hyperlink" Target="https://omni.wikiwand.com/fr/articles/MF_88" TargetMode="External"/><Relationship Id="rId12" Type="http://schemas.openxmlformats.org/officeDocument/2006/relationships/drawing" Target="../drawings/drawing1.xml"/><Relationship Id="rId2" Type="http://schemas.openxmlformats.org/officeDocument/2006/relationships/hyperlink" Target="https://omni.wikiwand.com/fr/articles/MP_89" TargetMode="External"/><Relationship Id="rId1" Type="http://schemas.openxmlformats.org/officeDocument/2006/relationships/hyperlink" Target="https://omni.wikiwand.com/fr/articles/MP_73" TargetMode="External"/><Relationship Id="rId6" Type="http://schemas.openxmlformats.org/officeDocument/2006/relationships/hyperlink" Target="https://omni.wikiwand.com/fr/articles/MF_77" TargetMode="External"/><Relationship Id="rId11" Type="http://schemas.openxmlformats.org/officeDocument/2006/relationships/printerSettings" Target="../printerSettings/printerSettings1.bin"/><Relationship Id="rId5" Type="http://schemas.openxmlformats.org/officeDocument/2006/relationships/hyperlink" Target="https://omni.wikiwand.com/fr/articles/MF_67" TargetMode="External"/><Relationship Id="rId10" Type="http://schemas.openxmlformats.org/officeDocument/2006/relationships/hyperlink" Target="https://www.institutparisregion.fr/mobilite-et-transports/deplacements/tableau-de-bord-de-la-mobilite-en-ile-de-france/" TargetMode="External"/><Relationship Id="rId4" Type="http://schemas.openxmlformats.org/officeDocument/2006/relationships/hyperlink" Target="https://omni.wikiwand.com/fr/articles/MP_14" TargetMode="External"/><Relationship Id="rId9" Type="http://schemas.openxmlformats.org/officeDocument/2006/relationships/hyperlink" Target="https://omni.wikiwand.com/fr/articles/Mat%C3%A9riel_roulant_du_m%C3%A9tro_de_Paris" TargetMode="Externa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56B-4F01-4C35-A852-63A9A2C3163B}">
  <dimension ref="B2:C10"/>
  <sheetViews>
    <sheetView tabSelected="1" workbookViewId="0">
      <selection activeCell="D17" sqref="D17"/>
    </sheetView>
  </sheetViews>
  <sheetFormatPr defaultRowHeight="14.6" x14ac:dyDescent="0.4"/>
  <cols>
    <col min="1" max="1" width="4.53515625" customWidth="1"/>
    <col min="2" max="2" width="16.84375" customWidth="1"/>
  </cols>
  <sheetData>
    <row r="2" spans="2:3" ht="28.75" customHeight="1" x14ac:dyDescent="0.55000000000000004">
      <c r="B2" s="84" t="s">
        <v>352</v>
      </c>
    </row>
    <row r="3" spans="2:3" x14ac:dyDescent="0.4">
      <c r="B3" t="s">
        <v>353</v>
      </c>
    </row>
    <row r="4" spans="2:3" x14ac:dyDescent="0.4">
      <c r="B4" s="118" t="s">
        <v>354</v>
      </c>
      <c r="C4" s="3" t="s">
        <v>306</v>
      </c>
    </row>
    <row r="5" spans="2:3" x14ac:dyDescent="0.4">
      <c r="B5" s="118" t="s">
        <v>355</v>
      </c>
      <c r="C5" s="3" t="s">
        <v>332</v>
      </c>
    </row>
    <row r="6" spans="2:3" x14ac:dyDescent="0.4">
      <c r="B6" s="118" t="s">
        <v>356</v>
      </c>
      <c r="C6" s="3" t="s">
        <v>333</v>
      </c>
    </row>
    <row r="7" spans="2:3" x14ac:dyDescent="0.4">
      <c r="B7" s="118" t="s">
        <v>357</v>
      </c>
      <c r="C7" s="3" t="s">
        <v>331</v>
      </c>
    </row>
    <row r="8" spans="2:3" x14ac:dyDescent="0.4">
      <c r="B8" s="118" t="s">
        <v>358</v>
      </c>
      <c r="C8" s="3" t="s">
        <v>337</v>
      </c>
    </row>
    <row r="9" spans="2:3" x14ac:dyDescent="0.4">
      <c r="B9" s="118" t="s">
        <v>359</v>
      </c>
      <c r="C9" s="3" t="s">
        <v>344</v>
      </c>
    </row>
    <row r="10" spans="2:3" x14ac:dyDescent="0.4">
      <c r="B10" s="118" t="s">
        <v>360</v>
      </c>
      <c r="C10" s="3" t="s">
        <v>347</v>
      </c>
    </row>
  </sheetData>
  <hyperlinks>
    <hyperlink ref="B4" location="demography!A1" display="demography" xr:uid="{E31F8C24-5F2C-4E01-9EC8-607793D8B973}"/>
    <hyperlink ref="B5" location="'public space'!A1" display="public space" xr:uid="{AC3F8B33-DAF3-4322-9E3D-43E1B40AB526}"/>
    <hyperlink ref="B6" location="'reallocation policy'!A1" display="reallocation policy" xr:uid="{8C4C2F85-CBD3-4819-9E74-EF267E6FA8D4}"/>
    <hyperlink ref="B7" location="'vehicle adoption'!A1" display="vehicle adoption" xr:uid="{D2F0A98A-37D8-4754-939F-C205A7F9F1D2}"/>
    <hyperlink ref="B8" location="'destination choice'!A1" display="destination choice" xr:uid="{837BE8FF-BF2C-46D7-AD77-00C86BF97A5C}"/>
    <hyperlink ref="B9" location="'mode choice'!A1" display="mode choice" xr:uid="{1C77762C-C258-479C-BFF5-35C28DF78B33}"/>
    <hyperlink ref="B10" location="callibration!A1" display="callibration" xr:uid="{DD85E3FD-C19D-402F-B31B-BDB30475C96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A6E10-05A9-4110-83E4-22FF0552CF73}">
  <sheetPr codeName="Sheet1"/>
  <dimension ref="B2:I74"/>
  <sheetViews>
    <sheetView workbookViewId="0">
      <selection activeCell="C9" sqref="C9"/>
    </sheetView>
  </sheetViews>
  <sheetFormatPr defaultRowHeight="14.6" x14ac:dyDescent="0.4"/>
  <cols>
    <col min="1" max="1" width="3.84375" customWidth="1"/>
    <col min="2" max="2" width="26.3828125" customWidth="1"/>
    <col min="7" max="9" width="20.69140625" customWidth="1"/>
  </cols>
  <sheetData>
    <row r="2" spans="2:5" ht="28.75" customHeight="1" x14ac:dyDescent="0.55000000000000004">
      <c r="B2" s="84" t="s">
        <v>298</v>
      </c>
    </row>
    <row r="3" spans="2:5" x14ac:dyDescent="0.4">
      <c r="B3" t="s">
        <v>306</v>
      </c>
    </row>
    <row r="4" spans="2:5" x14ac:dyDescent="0.4">
      <c r="B4" t="s">
        <v>301</v>
      </c>
    </row>
    <row r="5" spans="2:5" x14ac:dyDescent="0.4">
      <c r="B5" t="s">
        <v>305</v>
      </c>
    </row>
    <row r="7" spans="2:5" x14ac:dyDescent="0.4">
      <c r="B7" s="29" t="s">
        <v>299</v>
      </c>
      <c r="C7" s="29"/>
      <c r="D7" s="29"/>
      <c r="E7" s="29"/>
    </row>
    <row r="8" spans="2:5" x14ac:dyDescent="0.4">
      <c r="C8" t="s">
        <v>30</v>
      </c>
      <c r="D8" t="s">
        <v>31</v>
      </c>
      <c r="E8" t="s">
        <v>32</v>
      </c>
    </row>
    <row r="9" spans="2:5" x14ac:dyDescent="0.4">
      <c r="B9" t="s">
        <v>66</v>
      </c>
      <c r="C9" s="10">
        <v>1635291</v>
      </c>
      <c r="D9" s="25">
        <v>1668670</v>
      </c>
      <c r="E9" s="10">
        <v>1415367</v>
      </c>
    </row>
    <row r="10" spans="2:5" x14ac:dyDescent="0.4">
      <c r="B10" t="s">
        <v>67</v>
      </c>
      <c r="C10" s="3">
        <v>741813</v>
      </c>
      <c r="D10" s="3">
        <v>655991</v>
      </c>
      <c r="E10" s="3">
        <v>612545</v>
      </c>
    </row>
    <row r="11" spans="2:5" x14ac:dyDescent="0.4">
      <c r="B11" t="s">
        <v>70</v>
      </c>
      <c r="C11" s="3">
        <v>2.1800000000000002</v>
      </c>
      <c r="D11" s="3">
        <v>2.52</v>
      </c>
      <c r="E11" s="3">
        <v>2.2799999999999998</v>
      </c>
    </row>
    <row r="12" spans="2:5" x14ac:dyDescent="0.4">
      <c r="B12" t="s">
        <v>73</v>
      </c>
      <c r="C12">
        <v>29720</v>
      </c>
      <c r="D12">
        <v>19020</v>
      </c>
      <c r="E12">
        <v>24270</v>
      </c>
    </row>
    <row r="13" spans="2:5" x14ac:dyDescent="0.4">
      <c r="B13" t="s">
        <v>68</v>
      </c>
      <c r="C13" s="3">
        <v>1.4200000000000001E-2</v>
      </c>
      <c r="D13" s="3">
        <v>1.77E-2</v>
      </c>
      <c r="E13" s="3">
        <v>1.47E-2</v>
      </c>
    </row>
    <row r="14" spans="2:5" x14ac:dyDescent="0.4">
      <c r="B14" t="s">
        <v>69</v>
      </c>
      <c r="C14" s="3">
        <v>6.4000000000000003E-3</v>
      </c>
      <c r="D14" s="3">
        <v>5.7000000000000002E-3</v>
      </c>
      <c r="E14" s="3">
        <v>7.4000000000000003E-3</v>
      </c>
    </row>
    <row r="15" spans="2:5" x14ac:dyDescent="0.4">
      <c r="B15" t="s">
        <v>45</v>
      </c>
      <c r="C15" s="24">
        <v>178</v>
      </c>
      <c r="D15" s="24">
        <v>234</v>
      </c>
      <c r="E15" s="3">
        <v>242</v>
      </c>
    </row>
    <row r="16" spans="2:5" x14ac:dyDescent="0.4">
      <c r="B16" t="s">
        <v>266</v>
      </c>
      <c r="C16" s="3">
        <v>38321</v>
      </c>
      <c r="D16" s="3">
        <v>20801</v>
      </c>
      <c r="E16" s="3">
        <v>26608</v>
      </c>
    </row>
    <row r="17" spans="2:5" x14ac:dyDescent="0.4">
      <c r="B17" t="s">
        <v>267</v>
      </c>
      <c r="C17" s="3">
        <v>45278</v>
      </c>
      <c r="D17" s="3">
        <v>31365</v>
      </c>
      <c r="E17" s="3">
        <v>33924</v>
      </c>
    </row>
    <row r="18" spans="2:5" x14ac:dyDescent="0.4">
      <c r="B18" t="s">
        <v>268</v>
      </c>
      <c r="C18" s="3">
        <v>37280</v>
      </c>
      <c r="D18" s="3">
        <v>23247</v>
      </c>
      <c r="E18" s="3">
        <v>27642</v>
      </c>
    </row>
    <row r="19" spans="2:5" x14ac:dyDescent="0.4">
      <c r="B19" t="s">
        <v>269</v>
      </c>
      <c r="C19" s="3">
        <v>40885</v>
      </c>
      <c r="D19" s="3">
        <v>29042</v>
      </c>
      <c r="E19" s="3">
        <v>31970</v>
      </c>
    </row>
    <row r="20" spans="2:5" x14ac:dyDescent="0.4">
      <c r="B20" t="s">
        <v>131</v>
      </c>
      <c r="C20">
        <f>0.174+0.189</f>
        <v>0.36299999999999999</v>
      </c>
      <c r="D20">
        <f>0.214+0.201</f>
        <v>0.41500000000000004</v>
      </c>
      <c r="E20">
        <f>0.182+0.195</f>
        <v>0.377</v>
      </c>
    </row>
    <row r="21" spans="2:5" x14ac:dyDescent="0.4">
      <c r="B21" t="s">
        <v>133</v>
      </c>
      <c r="C21">
        <f>0.633</f>
        <v>0.63300000000000001</v>
      </c>
      <c r="D21" s="3">
        <v>0.60799999999999998</v>
      </c>
      <c r="E21" s="3">
        <v>0.66500000000000004</v>
      </c>
    </row>
    <row r="22" spans="2:5" x14ac:dyDescent="0.4">
      <c r="B22" t="s">
        <v>134</v>
      </c>
      <c r="C22" s="21">
        <f>(2*14.1+49.2)/63.3</f>
        <v>1.222748815165877</v>
      </c>
      <c r="D22" s="21">
        <f>(2*14.8+46)/60.8</f>
        <v>1.243421052631579</v>
      </c>
      <c r="E22" s="21">
        <f>(2*17.2+49.4)/66.5</f>
        <v>1.2601503759398496</v>
      </c>
    </row>
    <row r="23" spans="2:5" x14ac:dyDescent="0.4">
      <c r="B23" t="s">
        <v>136</v>
      </c>
      <c r="C23" s="23">
        <v>783266</v>
      </c>
      <c r="D23" s="23">
        <v>652707</v>
      </c>
      <c r="E23" s="23">
        <v>619016</v>
      </c>
    </row>
    <row r="24" spans="2:5" x14ac:dyDescent="0.4">
      <c r="B24" t="s">
        <v>137</v>
      </c>
      <c r="C24" s="23">
        <v>824372</v>
      </c>
      <c r="D24" s="23">
        <v>705282</v>
      </c>
      <c r="E24" s="23">
        <v>662168</v>
      </c>
    </row>
    <row r="25" spans="2:5" x14ac:dyDescent="0.4">
      <c r="B25" s="31" t="s">
        <v>71</v>
      </c>
      <c r="C25" s="32" t="s">
        <v>30</v>
      </c>
      <c r="D25" s="32" t="s">
        <v>31</v>
      </c>
      <c r="E25" s="32" t="s">
        <v>32</v>
      </c>
    </row>
    <row r="26" spans="2:5" x14ac:dyDescent="0.4">
      <c r="B26" s="31" t="s">
        <v>72</v>
      </c>
      <c r="C26" s="32" t="s">
        <v>30</v>
      </c>
      <c r="D26" s="32" t="s">
        <v>31</v>
      </c>
      <c r="E26" s="32" t="s">
        <v>32</v>
      </c>
    </row>
    <row r="27" spans="2:5" x14ac:dyDescent="0.4">
      <c r="B27" s="31" t="s">
        <v>107</v>
      </c>
      <c r="C27" s="35" t="s">
        <v>106</v>
      </c>
    </row>
    <row r="29" spans="2:5" x14ac:dyDescent="0.4">
      <c r="B29" s="89" t="s">
        <v>46</v>
      </c>
      <c r="C29" s="89"/>
      <c r="D29" s="29"/>
    </row>
    <row r="30" spans="2:5" x14ac:dyDescent="0.4">
      <c r="B30" s="29"/>
      <c r="C30" s="29" t="s">
        <v>55</v>
      </c>
      <c r="D30" s="29" t="s">
        <v>56</v>
      </c>
    </row>
    <row r="31" spans="2:5" x14ac:dyDescent="0.4">
      <c r="B31" t="s">
        <v>66</v>
      </c>
      <c r="C31" s="10">
        <v>2133111</v>
      </c>
      <c r="D31" s="10">
        <f>SUM(demography!C9:E9)</f>
        <v>4719328</v>
      </c>
    </row>
    <row r="32" spans="2:5" x14ac:dyDescent="0.4">
      <c r="B32" t="s">
        <v>67</v>
      </c>
      <c r="C32">
        <v>1128286</v>
      </c>
      <c r="D32">
        <f>SUM(demography!C10:E10)</f>
        <v>2010349</v>
      </c>
      <c r="E32" s="20"/>
    </row>
    <row r="33" spans="2:4" x14ac:dyDescent="0.4">
      <c r="B33" s="28" t="s">
        <v>68</v>
      </c>
      <c r="C33" s="26">
        <v>1.26E-2</v>
      </c>
      <c r="D33" s="26">
        <f>SUMPRODUCT(demography!C13:E13,demography!$C$9:$E$9)/$D$31</f>
        <v>1.5587491714922127E-2</v>
      </c>
    </row>
    <row r="34" spans="2:4" x14ac:dyDescent="0.4">
      <c r="B34" s="28" t="s">
        <v>69</v>
      </c>
      <c r="C34" s="26">
        <v>6.6E-3</v>
      </c>
      <c r="D34" s="26">
        <f>SUMPRODUCT(demography!C14:E14,demography!$C$9:$E$9)/$D$31</f>
        <v>6.4524011045640388E-3</v>
      </c>
    </row>
    <row r="35" spans="2:4" x14ac:dyDescent="0.4">
      <c r="B35" t="s">
        <v>70</v>
      </c>
      <c r="C35">
        <v>1.85</v>
      </c>
      <c r="D35" s="17">
        <f>SUMPRODUCT(demography!C11:E11,demography!C10:E10)/D32</f>
        <v>2.321413973394669</v>
      </c>
    </row>
    <row r="36" spans="2:4" x14ac:dyDescent="0.4">
      <c r="B36" s="22" t="s">
        <v>110</v>
      </c>
      <c r="C36" s="10">
        <v>29730</v>
      </c>
      <c r="D36" s="10">
        <f>SUMPRODUCT(demography!C12:E12,demography!C10:E10)/D32</f>
        <v>24567.922450281021</v>
      </c>
    </row>
    <row r="37" spans="2:4" x14ac:dyDescent="0.4">
      <c r="B37" s="95" t="s">
        <v>302</v>
      </c>
      <c r="C37" s="96" t="s">
        <v>300</v>
      </c>
    </row>
    <row r="39" spans="2:4" x14ac:dyDescent="0.4">
      <c r="B39" s="98" t="s">
        <v>303</v>
      </c>
      <c r="C39" s="29" t="s">
        <v>55</v>
      </c>
      <c r="D39" s="29" t="s">
        <v>56</v>
      </c>
    </row>
    <row r="40" spans="2:4" x14ac:dyDescent="0.4">
      <c r="B40" s="22" t="s">
        <v>108</v>
      </c>
      <c r="C40">
        <v>51823</v>
      </c>
      <c r="D40">
        <f>SUM(demography!C16:E16)</f>
        <v>85730</v>
      </c>
    </row>
    <row r="41" spans="2:4" x14ac:dyDescent="0.4">
      <c r="B41" s="22" t="s">
        <v>109</v>
      </c>
      <c r="C41">
        <v>72308</v>
      </c>
      <c r="D41">
        <f>SUM(demography!C17:E17)</f>
        <v>110567</v>
      </c>
    </row>
    <row r="42" spans="2:4" x14ac:dyDescent="0.4">
      <c r="B42" s="22" t="s">
        <v>111</v>
      </c>
      <c r="C42" s="26">
        <f>C40/demography!$C$31</f>
        <v>2.4294563199008398E-2</v>
      </c>
      <c r="D42" s="26">
        <f>D40/demography!$D$31</f>
        <v>1.8165721899389066E-2</v>
      </c>
    </row>
    <row r="43" spans="2:4" x14ac:dyDescent="0.4">
      <c r="B43" s="22" t="s">
        <v>112</v>
      </c>
      <c r="C43" s="26">
        <f>C41/demography!$C$31</f>
        <v>3.3897907797578279E-2</v>
      </c>
      <c r="D43" s="26">
        <f>D41/demography!$D$31</f>
        <v>2.342854745421382E-2</v>
      </c>
    </row>
    <row r="44" spans="2:4" x14ac:dyDescent="0.4">
      <c r="B44" s="22" t="s">
        <v>113</v>
      </c>
      <c r="C44" s="26">
        <f>C42-C43</f>
        <v>-9.6033445985698809E-3</v>
      </c>
      <c r="D44" s="26">
        <f>D42-D43</f>
        <v>-5.2628255548247543E-3</v>
      </c>
    </row>
    <row r="45" spans="2:4" x14ac:dyDescent="0.4">
      <c r="B45" s="98" t="s">
        <v>304</v>
      </c>
      <c r="C45" s="29" t="s">
        <v>55</v>
      </c>
      <c r="D45" s="29" t="s">
        <v>56</v>
      </c>
    </row>
    <row r="46" spans="2:4" x14ac:dyDescent="0.4">
      <c r="B46" s="22" t="s">
        <v>108</v>
      </c>
      <c r="C46" s="10">
        <v>55259</v>
      </c>
      <c r="D46" s="10">
        <f>SUM(demography!C18:E18)</f>
        <v>88169</v>
      </c>
    </row>
    <row r="47" spans="2:4" x14ac:dyDescent="0.4">
      <c r="B47" s="22" t="s">
        <v>109</v>
      </c>
      <c r="C47" s="10">
        <v>63013</v>
      </c>
      <c r="D47" s="10">
        <f>SUM(demography!C19:E19)</f>
        <v>101897</v>
      </c>
    </row>
    <row r="48" spans="2:4" x14ac:dyDescent="0.4">
      <c r="B48" s="22" t="s">
        <v>111</v>
      </c>
      <c r="C48" s="26">
        <f>C46/demography!$C$31</f>
        <v>2.5905356073828319E-2</v>
      </c>
      <c r="D48" s="26">
        <f>D46/demography!$D$31</f>
        <v>1.8682532767377049E-2</v>
      </c>
    </row>
    <row r="49" spans="2:9" x14ac:dyDescent="0.4">
      <c r="B49" s="22" t="s">
        <v>112</v>
      </c>
      <c r="C49" s="26">
        <f>C47/demography!$C$31</f>
        <v>2.9540422415898656E-2</v>
      </c>
      <c r="D49" s="26">
        <f>D47/demography!$D$31</f>
        <v>2.1591421490517293E-2</v>
      </c>
    </row>
    <row r="50" spans="2:9" x14ac:dyDescent="0.4">
      <c r="B50" s="22" t="s">
        <v>113</v>
      </c>
      <c r="C50" s="26">
        <f>C48-C49</f>
        <v>-3.6350663420703366E-3</v>
      </c>
      <c r="D50" s="26">
        <f>D48-D49</f>
        <v>-2.908888723140244E-3</v>
      </c>
    </row>
    <row r="51" spans="2:9" x14ac:dyDescent="0.4">
      <c r="B51" s="95" t="s">
        <v>302</v>
      </c>
      <c r="C51" s="96" t="s">
        <v>106</v>
      </c>
    </row>
    <row r="53" spans="2:9" x14ac:dyDescent="0.4">
      <c r="B53" s="29" t="s">
        <v>329</v>
      </c>
      <c r="C53" s="29"/>
      <c r="D53" s="29"/>
    </row>
    <row r="54" spans="2:9" x14ac:dyDescent="0.4">
      <c r="B54" s="29"/>
      <c r="C54" s="29" t="s">
        <v>55</v>
      </c>
      <c r="D54" s="29" t="s">
        <v>56</v>
      </c>
    </row>
    <row r="55" spans="2:9" x14ac:dyDescent="0.4">
      <c r="B55" t="s">
        <v>130</v>
      </c>
      <c r="C55" s="21">
        <f>0.123+0.245</f>
        <v>0.36799999999999999</v>
      </c>
      <c r="D55" s="21">
        <f>SUMPRODUCT(demography!C20:E20,demography!C9:E9)/SUM(demography!C9:E9)</f>
        <v>0.38558499049017159</v>
      </c>
    </row>
    <row r="56" spans="2:9" x14ac:dyDescent="0.4">
      <c r="B56" t="s">
        <v>129</v>
      </c>
      <c r="C56" s="21">
        <f>1-C55</f>
        <v>0.63200000000000001</v>
      </c>
      <c r="D56" s="21">
        <f>1-D55</f>
        <v>0.61441500950982841</v>
      </c>
    </row>
    <row r="57" spans="2:9" x14ac:dyDescent="0.4">
      <c r="B57" t="s">
        <v>141</v>
      </c>
      <c r="C57" s="21">
        <f>2/3</f>
        <v>0.66666666666666663</v>
      </c>
      <c r="D57" s="21">
        <f>2/3</f>
        <v>0.66666666666666663</v>
      </c>
    </row>
    <row r="58" spans="2:9" x14ac:dyDescent="0.4">
      <c r="B58" t="s">
        <v>245</v>
      </c>
      <c r="C58" s="21">
        <f>C57*C55</f>
        <v>0.24533333333333332</v>
      </c>
      <c r="D58" s="21">
        <f>D57*D55</f>
        <v>0.25705666032678104</v>
      </c>
    </row>
    <row r="60" spans="2:9" x14ac:dyDescent="0.4">
      <c r="B60" s="89" t="s">
        <v>135</v>
      </c>
      <c r="C60" s="89"/>
      <c r="D60" s="29"/>
      <c r="G60" s="29" t="s">
        <v>307</v>
      </c>
      <c r="H60" s="29"/>
      <c r="I60" s="29"/>
    </row>
    <row r="61" spans="2:9" x14ac:dyDescent="0.4">
      <c r="B61" s="29"/>
      <c r="C61" s="29" t="s">
        <v>55</v>
      </c>
      <c r="D61" s="29" t="s">
        <v>56</v>
      </c>
      <c r="G61" s="23" t="s">
        <v>47</v>
      </c>
      <c r="H61" t="s">
        <v>48</v>
      </c>
    </row>
    <row r="62" spans="2:9" x14ac:dyDescent="0.4">
      <c r="B62" t="s">
        <v>136</v>
      </c>
      <c r="C62">
        <v>1366438</v>
      </c>
      <c r="D62">
        <f>SUM(demography!C23:E23)</f>
        <v>2054989</v>
      </c>
      <c r="G62" t="s">
        <v>54</v>
      </c>
      <c r="H62">
        <v>6</v>
      </c>
    </row>
    <row r="63" spans="2:9" x14ac:dyDescent="0.4">
      <c r="B63" t="s">
        <v>137</v>
      </c>
      <c r="C63">
        <v>1396753</v>
      </c>
      <c r="D63">
        <f>SUM(demography!C24:E24)</f>
        <v>2191822</v>
      </c>
      <c r="H63" t="s">
        <v>49</v>
      </c>
      <c r="I63" t="s">
        <v>50</v>
      </c>
    </row>
    <row r="64" spans="2:9" x14ac:dyDescent="0.4">
      <c r="B64" t="s">
        <v>139</v>
      </c>
      <c r="C64" s="26">
        <f>demography!H66</f>
        <v>3.6638460727507205E-3</v>
      </c>
      <c r="D64" s="26">
        <f>demography!I66</f>
        <v>1.0801699338462534E-2</v>
      </c>
      <c r="G64" t="s">
        <v>51</v>
      </c>
      <c r="H64">
        <f>demography!C62</f>
        <v>1366438</v>
      </c>
      <c r="I64">
        <f>demography!D62</f>
        <v>2054989</v>
      </c>
    </row>
    <row r="65" spans="2:9" x14ac:dyDescent="0.4">
      <c r="B65" t="s">
        <v>140</v>
      </c>
      <c r="C65" s="16">
        <f>1/100+C64</f>
        <v>1.3663846072750721E-2</v>
      </c>
      <c r="D65" s="16">
        <f>1/100+D64</f>
        <v>2.0801699338462536E-2</v>
      </c>
      <c r="G65" t="s">
        <v>52</v>
      </c>
      <c r="H65" s="10">
        <f>demography!C63</f>
        <v>1396753</v>
      </c>
      <c r="I65" s="10">
        <f>demography!D63</f>
        <v>2191822</v>
      </c>
    </row>
    <row r="66" spans="2:9" x14ac:dyDescent="0.4">
      <c r="B66" t="s">
        <v>138</v>
      </c>
      <c r="C66" s="21">
        <f>C63/demography!C32</f>
        <v>1.2379423302247834</v>
      </c>
      <c r="D66" s="21">
        <f>D63/demography!D32</f>
        <v>1.0902694009846052</v>
      </c>
      <c r="G66" t="s">
        <v>53</v>
      </c>
      <c r="H66" s="26">
        <f>(H65/H64)^(1/$H$62)-1</f>
        <v>3.6638460727507205E-3</v>
      </c>
      <c r="I66" s="26">
        <f>(I65/I64)^(1/$H$62)-1</f>
        <v>1.0801699338462534E-2</v>
      </c>
    </row>
    <row r="68" spans="2:9" x14ac:dyDescent="0.4">
      <c r="B68" s="98" t="s">
        <v>45</v>
      </c>
      <c r="C68" s="29" t="s">
        <v>55</v>
      </c>
      <c r="D68" s="29" t="s">
        <v>56</v>
      </c>
    </row>
    <row r="69" spans="2:9" x14ac:dyDescent="0.4">
      <c r="B69" t="s">
        <v>45</v>
      </c>
      <c r="C69">
        <v>211</v>
      </c>
      <c r="D69" s="10">
        <f>SUM(demography!C15:E15)</f>
        <v>654</v>
      </c>
    </row>
    <row r="70" spans="2:9" x14ac:dyDescent="0.4">
      <c r="B70" t="s">
        <v>308</v>
      </c>
      <c r="C70" s="10">
        <f>demography!C31/C69</f>
        <v>10109.530805687204</v>
      </c>
      <c r="D70" s="27">
        <f>demography!D31/D69</f>
        <v>7216.0978593272175</v>
      </c>
    </row>
    <row r="71" spans="2:9" x14ac:dyDescent="0.4">
      <c r="B71" t="s">
        <v>309</v>
      </c>
      <c r="C71" s="10">
        <f>C63/C69</f>
        <v>6619.6824644549761</v>
      </c>
      <c r="D71" s="10">
        <f>D63/D69</f>
        <v>3351.4097859327217</v>
      </c>
    </row>
    <row r="72" spans="2:9" x14ac:dyDescent="0.4">
      <c r="B72" s="95" t="s">
        <v>302</v>
      </c>
      <c r="C72" s="96" t="s">
        <v>300</v>
      </c>
      <c r="D72" s="10"/>
    </row>
    <row r="74" spans="2:9" x14ac:dyDescent="0.4">
      <c r="C74" s="21"/>
      <c r="D74" s="21"/>
    </row>
  </sheetData>
  <mergeCells count="2">
    <mergeCell ref="B29:C29"/>
    <mergeCell ref="B60:C60"/>
  </mergeCells>
  <hyperlinks>
    <hyperlink ref="C25" r:id="rId1" location="chiffre-cle-2" xr:uid="{913E614F-DB77-41AC-A512-EEA16397E589}"/>
    <hyperlink ref="D25" r:id="rId2" location="chiffre-cle-2" xr:uid="{26F53D4A-09F8-44AB-BF19-FC444F0AD1E3}"/>
    <hyperlink ref="E25" r:id="rId3" location="chiffre-cle-2" xr:uid="{5131A27E-4B98-4C4D-8A09-693B562CACA7}"/>
    <hyperlink ref="E26" r:id="rId4" xr:uid="{2FAEE0A0-07B3-496C-BA23-4CCDEE5374F8}"/>
    <hyperlink ref="C26" r:id="rId5" display="DEP-94" xr:uid="{EE2DA9F2-3BBD-4718-9E3D-4EC00CD7606E}"/>
    <hyperlink ref="D26" r:id="rId6" xr:uid="{E4698F5C-CDE4-4B09-AE53-A9197269D279}"/>
    <hyperlink ref="C27" r:id="rId7" xr:uid="{D2730F0E-E5E5-4704-908C-3176A4CBBF8D}"/>
    <hyperlink ref="C37" r:id="rId8" xr:uid="{187EF52F-5CC4-4F5D-9686-976B9ADF8F6F}"/>
    <hyperlink ref="C51" r:id="rId9" xr:uid="{2F52A4CB-B728-4460-B4C9-0A8F421EEB7D}"/>
    <hyperlink ref="C72" r:id="rId10" xr:uid="{FB0FC7B5-3D6F-406F-A5FE-3744C96CB9A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A03C7-5D36-4710-A259-E3DF15403441}">
  <sheetPr codeName="Sheet7"/>
  <dimension ref="B2:G53"/>
  <sheetViews>
    <sheetView workbookViewId="0"/>
  </sheetViews>
  <sheetFormatPr defaultRowHeight="14.6" x14ac:dyDescent="0.4"/>
  <cols>
    <col min="1" max="1" width="3.84375" customWidth="1"/>
    <col min="2" max="2" width="26.3828125" customWidth="1"/>
    <col min="3" max="3" width="11.53515625" customWidth="1"/>
    <col min="6" max="6" width="12.15234375" customWidth="1"/>
    <col min="7" max="9" width="20.69140625" customWidth="1"/>
  </cols>
  <sheetData>
    <row r="2" spans="2:6" ht="28.75" customHeight="1" x14ac:dyDescent="0.55000000000000004">
      <c r="B2" s="84" t="s">
        <v>201</v>
      </c>
    </row>
    <row r="3" spans="2:6" x14ac:dyDescent="0.4">
      <c r="B3" t="s">
        <v>332</v>
      </c>
    </row>
    <row r="5" spans="2:6" x14ac:dyDescent="0.4">
      <c r="B5" s="89" t="s">
        <v>65</v>
      </c>
      <c r="C5" s="89"/>
      <c r="D5" s="89"/>
      <c r="E5" s="89"/>
      <c r="F5" s="89"/>
    </row>
    <row r="6" spans="2:6" x14ac:dyDescent="0.4">
      <c r="B6" t="s">
        <v>3</v>
      </c>
      <c r="C6" t="s">
        <v>4</v>
      </c>
      <c r="D6" t="s">
        <v>5</v>
      </c>
      <c r="E6" t="s">
        <v>7</v>
      </c>
      <c r="F6" t="s">
        <v>6</v>
      </c>
    </row>
    <row r="7" spans="2:6" x14ac:dyDescent="0.4">
      <c r="B7" s="2">
        <v>128.69999999999999</v>
      </c>
      <c r="C7" s="2">
        <v>18.5</v>
      </c>
      <c r="D7" s="2">
        <v>17.399999999999999</v>
      </c>
      <c r="E7" s="2">
        <v>1.3</v>
      </c>
      <c r="F7" s="2">
        <f>197-SUM($B7:E7)</f>
        <v>31.099999999999994</v>
      </c>
    </row>
    <row r="8" spans="2:6" x14ac:dyDescent="0.4">
      <c r="B8" s="95" t="s">
        <v>310</v>
      </c>
      <c r="C8" s="96" t="s">
        <v>311</v>
      </c>
    </row>
    <row r="9" spans="2:6" x14ac:dyDescent="0.4">
      <c r="B9" t="s">
        <v>9</v>
      </c>
    </row>
    <row r="11" spans="2:6" x14ac:dyDescent="0.4">
      <c r="B11" s="89" t="s">
        <v>64</v>
      </c>
      <c r="C11" s="89"/>
      <c r="D11" s="89"/>
      <c r="E11" s="89"/>
      <c r="F11" s="89"/>
    </row>
    <row r="12" spans="2:6" x14ac:dyDescent="0.4">
      <c r="B12" s="5" t="s">
        <v>254</v>
      </c>
      <c r="C12" s="5" t="s">
        <v>255</v>
      </c>
      <c r="D12" s="5" t="s">
        <v>256</v>
      </c>
      <c r="E12" s="5" t="s">
        <v>253</v>
      </c>
      <c r="F12" s="5" t="s">
        <v>8</v>
      </c>
    </row>
    <row r="13" spans="2:6" x14ac:dyDescent="0.4">
      <c r="B13" s="82">
        <v>161000</v>
      </c>
      <c r="C13" s="82">
        <v>66000</v>
      </c>
      <c r="D13" s="82">
        <v>382000</v>
      </c>
      <c r="E13" s="82">
        <v>474000</v>
      </c>
      <c r="F13" s="83">
        <f>SUM(B13:E13)</f>
        <v>1083000</v>
      </c>
    </row>
    <row r="14" spans="2:6" x14ac:dyDescent="0.4">
      <c r="B14">
        <v>0</v>
      </c>
      <c r="C14">
        <v>2.2000000000000002</v>
      </c>
      <c r="D14">
        <v>2.2000000000000002</v>
      </c>
      <c r="E14">
        <v>0</v>
      </c>
      <c r="F14">
        <f>SUM(B14:E14)</f>
        <v>4.4000000000000004</v>
      </c>
    </row>
    <row r="15" spans="2:6" x14ac:dyDescent="0.4">
      <c r="B15" s="2">
        <f>0.0001*B14*B13</f>
        <v>0</v>
      </c>
      <c r="C15" s="2">
        <f>0.0001*C14*C13</f>
        <v>14.520000000000003</v>
      </c>
      <c r="D15" s="2">
        <f>0.0001*D14*D13</f>
        <v>84.04</v>
      </c>
      <c r="E15" s="2">
        <f>0.0001*E14*E13</f>
        <v>0</v>
      </c>
      <c r="F15" s="2">
        <f>SUM(B15:E15)</f>
        <v>98.56</v>
      </c>
    </row>
    <row r="16" spans="2:6" x14ac:dyDescent="0.4">
      <c r="B16" s="6">
        <f>B15/$F$15</f>
        <v>0</v>
      </c>
      <c r="C16" s="6">
        <f>C15/$F$15</f>
        <v>0.1473214285714286</v>
      </c>
      <c r="D16" s="6">
        <f>D15/$F$15</f>
        <v>0.85267857142857151</v>
      </c>
      <c r="E16" s="6">
        <f>E15/$F$15</f>
        <v>0</v>
      </c>
    </row>
    <row r="17" spans="2:6" x14ac:dyDescent="0.4">
      <c r="B17" s="101" t="s">
        <v>310</v>
      </c>
      <c r="C17" s="102" t="s">
        <v>325</v>
      </c>
      <c r="D17" s="6"/>
      <c r="E17" s="6"/>
    </row>
    <row r="19" spans="2:6" x14ac:dyDescent="0.4">
      <c r="B19" s="98" t="s">
        <v>0</v>
      </c>
      <c r="C19" s="100" t="s">
        <v>322</v>
      </c>
      <c r="D19" s="100" t="s">
        <v>44</v>
      </c>
    </row>
    <row r="20" spans="2:6" x14ac:dyDescent="0.4">
      <c r="B20" t="s">
        <v>36</v>
      </c>
      <c r="C20" s="2">
        <f>C24-SUM(C21:C23)</f>
        <v>866.44</v>
      </c>
      <c r="D20" s="6">
        <f>C20/$C$24</f>
        <v>0.3236608143444154</v>
      </c>
      <c r="E20" t="s">
        <v>319</v>
      </c>
    </row>
    <row r="21" spans="2:6" x14ac:dyDescent="0.4">
      <c r="B21" t="s">
        <v>295</v>
      </c>
      <c r="C21" s="2">
        <f>SUM('public space'!B7:F7)</f>
        <v>197</v>
      </c>
      <c r="D21" s="6">
        <f>C21/$C$24</f>
        <v>7.3589839372431826E-2</v>
      </c>
      <c r="E21" t="s">
        <v>320</v>
      </c>
    </row>
    <row r="22" spans="2:6" x14ac:dyDescent="0.4">
      <c r="B22" t="s">
        <v>37</v>
      </c>
      <c r="C22" s="2">
        <v>1515</v>
      </c>
      <c r="D22" s="6">
        <f>C22/$C$24</f>
        <v>0.56593201344788946</v>
      </c>
      <c r="E22" t="s">
        <v>318</v>
      </c>
    </row>
    <row r="23" spans="2:6" x14ac:dyDescent="0.4">
      <c r="B23" t="s">
        <v>296</v>
      </c>
      <c r="C23" s="2">
        <f>'public space'!F15</f>
        <v>98.56</v>
      </c>
      <c r="D23" s="6">
        <f>C23/$C$24</f>
        <v>3.6817332835263353E-2</v>
      </c>
      <c r="E23" t="s">
        <v>321</v>
      </c>
    </row>
    <row r="24" spans="2:6" x14ac:dyDescent="0.4">
      <c r="B24" s="3" t="s">
        <v>1</v>
      </c>
      <c r="C24" s="99">
        <v>2677</v>
      </c>
      <c r="D24" s="6">
        <f t="shared" ref="D24:D25" si="0">C24/$C$24</f>
        <v>1</v>
      </c>
      <c r="E24" t="s">
        <v>320</v>
      </c>
    </row>
    <row r="25" spans="2:6" x14ac:dyDescent="0.4">
      <c r="B25" t="s">
        <v>125</v>
      </c>
      <c r="C25" s="2">
        <f>demography!C69*100-C24</f>
        <v>18423</v>
      </c>
      <c r="D25" s="6">
        <f t="shared" si="0"/>
        <v>6.8819574150168101</v>
      </c>
    </row>
    <row r="26" spans="2:6" x14ac:dyDescent="0.4">
      <c r="B26" s="3"/>
      <c r="C26" s="4" t="s">
        <v>324</v>
      </c>
      <c r="D26" s="6"/>
    </row>
    <row r="28" spans="2:6" x14ac:dyDescent="0.4">
      <c r="B28" s="89" t="s">
        <v>316</v>
      </c>
      <c r="C28" s="89"/>
      <c r="D28" s="89"/>
      <c r="E28" s="89"/>
      <c r="F28" s="89"/>
    </row>
    <row r="29" spans="2:6" x14ac:dyDescent="0.4">
      <c r="B29" s="98"/>
      <c r="C29" s="98" t="s">
        <v>33</v>
      </c>
      <c r="D29" s="98" t="s">
        <v>38</v>
      </c>
      <c r="E29" s="98" t="s">
        <v>34</v>
      </c>
      <c r="F29" s="98" t="s">
        <v>35</v>
      </c>
    </row>
    <row r="30" spans="2:6" x14ac:dyDescent="0.4">
      <c r="B30" t="s">
        <v>36</v>
      </c>
      <c r="C30" s="6">
        <f>'public space'!C20/'public space'!$C$24</f>
        <v>0.3236608143444154</v>
      </c>
      <c r="D30" s="6">
        <v>0.34300000000000003</v>
      </c>
      <c r="E30" s="6">
        <v>0.36</v>
      </c>
      <c r="F30" s="6">
        <v>0.41</v>
      </c>
    </row>
    <row r="31" spans="2:6" x14ac:dyDescent="0.4">
      <c r="B31" t="s">
        <v>40</v>
      </c>
      <c r="C31" s="6">
        <f>'public space'!C21/'public space'!$C$24</f>
        <v>7.3589839372431826E-2</v>
      </c>
      <c r="D31" s="6">
        <v>8.7999999999999995E-2</v>
      </c>
      <c r="E31" s="6">
        <v>0.13</v>
      </c>
      <c r="F31" s="6">
        <v>0.1</v>
      </c>
    </row>
    <row r="32" spans="2:6" x14ac:dyDescent="0.4">
      <c r="B32" t="s">
        <v>37</v>
      </c>
      <c r="C32" s="6">
        <f>'public space'!C22/'public space'!$C$24</f>
        <v>0.56593201344788946</v>
      </c>
      <c r="D32" s="6">
        <v>0.505</v>
      </c>
      <c r="E32" s="6">
        <v>0.46</v>
      </c>
      <c r="F32" s="6">
        <v>0.4</v>
      </c>
    </row>
    <row r="33" spans="2:7" x14ac:dyDescent="0.4">
      <c r="B33" t="s">
        <v>39</v>
      </c>
      <c r="C33" s="6">
        <f>'public space'!C23/'public space'!$C$24</f>
        <v>3.6817332835263353E-2</v>
      </c>
      <c r="D33" s="6">
        <v>2.5999999999999999E-2</v>
      </c>
      <c r="E33" s="6">
        <v>0.02</v>
      </c>
      <c r="F33" s="6">
        <v>7.0000000000000007E-2</v>
      </c>
    </row>
    <row r="34" spans="2:7" x14ac:dyDescent="0.4">
      <c r="D34" s="96" t="s">
        <v>57</v>
      </c>
      <c r="E34" s="96" t="s">
        <v>57</v>
      </c>
      <c r="F34" s="96" t="s">
        <v>57</v>
      </c>
      <c r="G34" s="97"/>
    </row>
    <row r="35" spans="2:7" x14ac:dyDescent="0.4">
      <c r="D35" s="96"/>
      <c r="E35" s="96"/>
      <c r="F35" s="96"/>
      <c r="G35" s="97"/>
    </row>
    <row r="36" spans="2:7" x14ac:dyDescent="0.4">
      <c r="B36" s="98" t="s">
        <v>315</v>
      </c>
      <c r="C36" s="98" t="s">
        <v>314</v>
      </c>
      <c r="D36" s="29" t="s">
        <v>162</v>
      </c>
    </row>
    <row r="37" spans="2:7" x14ac:dyDescent="0.4">
      <c r="B37" t="s">
        <v>1</v>
      </c>
      <c r="C37" s="2">
        <v>2350</v>
      </c>
      <c r="D37" s="6">
        <f>C24/C37-1</f>
        <v>0.13914893617021273</v>
      </c>
      <c r="E37" t="s">
        <v>317</v>
      </c>
    </row>
    <row r="38" spans="2:7" x14ac:dyDescent="0.4">
      <c r="D38" s="20"/>
      <c r="E38" s="20"/>
      <c r="F38" s="20"/>
    </row>
    <row r="39" spans="2:7" x14ac:dyDescent="0.4">
      <c r="B39" s="89" t="s">
        <v>142</v>
      </c>
      <c r="C39" s="89"/>
    </row>
    <row r="40" spans="2:7" x14ac:dyDescent="0.4">
      <c r="B40" t="s">
        <v>312</v>
      </c>
      <c r="C40">
        <v>460179</v>
      </c>
    </row>
    <row r="41" spans="2:7" x14ac:dyDescent="0.4">
      <c r="B41" t="s">
        <v>313</v>
      </c>
      <c r="C41">
        <v>70540</v>
      </c>
    </row>
    <row r="42" spans="2:7" x14ac:dyDescent="0.4">
      <c r="B42" t="s">
        <v>63</v>
      </c>
      <c r="C42" s="12">
        <f>128.7/134112</f>
        <v>9.5964566929133846E-4</v>
      </c>
    </row>
    <row r="43" spans="2:7" x14ac:dyDescent="0.4">
      <c r="B43" t="s">
        <v>10</v>
      </c>
      <c r="C43" s="2">
        <f>C40*$C$42</f>
        <v>441.60878444881882</v>
      </c>
    </row>
    <row r="44" spans="2:7" x14ac:dyDescent="0.4">
      <c r="B44" t="s">
        <v>11</v>
      </c>
      <c r="C44" s="2">
        <f>C41*$C$42</f>
        <v>67.693405511811008</v>
      </c>
    </row>
    <row r="45" spans="2:7" x14ac:dyDescent="0.4">
      <c r="B45" t="s">
        <v>2</v>
      </c>
      <c r="C45" s="2">
        <f>SUM(C43,C44)</f>
        <v>509.30218996062985</v>
      </c>
    </row>
    <row r="46" spans="2:7" x14ac:dyDescent="0.4">
      <c r="B46" s="95" t="s">
        <v>310</v>
      </c>
      <c r="C46" s="96" t="s">
        <v>311</v>
      </c>
    </row>
    <row r="48" spans="2:7" x14ac:dyDescent="0.4">
      <c r="B48" s="89" t="s">
        <v>114</v>
      </c>
      <c r="C48" s="89"/>
      <c r="D48" s="29"/>
    </row>
    <row r="49" spans="2:4" x14ac:dyDescent="0.4">
      <c r="B49" s="29"/>
      <c r="C49" s="29" t="s">
        <v>55</v>
      </c>
      <c r="D49" s="29" t="s">
        <v>56</v>
      </c>
    </row>
    <row r="50" spans="2:4" x14ac:dyDescent="0.4">
      <c r="B50" t="s">
        <v>116</v>
      </c>
      <c r="C50" s="36">
        <v>1567</v>
      </c>
      <c r="D50" s="36">
        <f>1800+2000+1700</f>
        <v>5500</v>
      </c>
    </row>
    <row r="51" spans="2:4" x14ac:dyDescent="0.4">
      <c r="B51" t="s">
        <v>117</v>
      </c>
      <c r="C51" s="36">
        <v>0</v>
      </c>
      <c r="D51" s="36">
        <f>340+303+333</f>
        <v>976</v>
      </c>
    </row>
    <row r="52" spans="2:4" x14ac:dyDescent="0.4">
      <c r="B52" t="s">
        <v>118</v>
      </c>
      <c r="C52" s="36">
        <v>0</v>
      </c>
      <c r="D52" s="36">
        <f>42+52+61</f>
        <v>155</v>
      </c>
    </row>
    <row r="53" spans="2:4" x14ac:dyDescent="0.4">
      <c r="B53" s="95" t="s">
        <v>323</v>
      </c>
      <c r="C53" s="96" t="s">
        <v>115</v>
      </c>
      <c r="D53" s="11"/>
    </row>
  </sheetData>
  <mergeCells count="5">
    <mergeCell ref="B28:F28"/>
    <mergeCell ref="B48:C48"/>
    <mergeCell ref="B11:F11"/>
    <mergeCell ref="B5:F5"/>
    <mergeCell ref="B39:C39"/>
  </mergeCells>
  <hyperlinks>
    <hyperlink ref="C46" r:id="rId1" xr:uid="{6B44E0B8-F04C-4CF7-AA34-3E30299FD986}"/>
    <hyperlink ref="C8" r:id="rId2" xr:uid="{4E529BBF-C772-422B-BA4E-DA7DD747F349}"/>
    <hyperlink ref="D34" r:id="rId3" xr:uid="{6DCD70A8-44BD-4ECF-8280-9C56F47EC33B}"/>
    <hyperlink ref="E34" r:id="rId4" xr:uid="{FBBC8B3E-5AA7-4913-83FC-41EE3CFF606A}"/>
    <hyperlink ref="F34" r:id="rId5" xr:uid="{F51A1F38-C7A8-4B44-9E47-E962049FE370}"/>
    <hyperlink ref="C53" r:id="rId6" xr:uid="{C993AC06-0749-4B44-9A55-D48E57383D52}"/>
    <hyperlink ref="C17" r:id="rId7" xr:uid="{4F79C3BA-84CA-4945-8698-B147884F09F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D1D6A-0816-4069-A236-129915CE95F0}">
  <sheetPr codeName="Sheet8"/>
  <dimension ref="B2:E16"/>
  <sheetViews>
    <sheetView workbookViewId="0">
      <selection activeCell="B3" sqref="B3"/>
    </sheetView>
  </sheetViews>
  <sheetFormatPr defaultRowHeight="14.6" x14ac:dyDescent="0.4"/>
  <cols>
    <col min="1" max="1" width="3.84375" customWidth="1"/>
    <col min="2" max="2" width="26.3828125" customWidth="1"/>
    <col min="3" max="3" width="10.23046875" bestFit="1" customWidth="1"/>
    <col min="4" max="4" width="11.765625" bestFit="1" customWidth="1"/>
    <col min="6" max="6" width="12.15234375" customWidth="1"/>
    <col min="7" max="9" width="20.69140625" customWidth="1"/>
  </cols>
  <sheetData>
    <row r="2" spans="2:5" ht="28.75" customHeight="1" x14ac:dyDescent="0.55000000000000004">
      <c r="B2" s="84" t="s">
        <v>203</v>
      </c>
    </row>
    <row r="3" spans="2:5" x14ac:dyDescent="0.4">
      <c r="B3" t="s">
        <v>333</v>
      </c>
    </row>
    <row r="4" spans="2:5" x14ac:dyDescent="0.4">
      <c r="B4" t="s">
        <v>336</v>
      </c>
    </row>
    <row r="6" spans="2:5" x14ac:dyDescent="0.4">
      <c r="B6" s="1" t="s">
        <v>203</v>
      </c>
      <c r="C6" s="1" t="s">
        <v>146</v>
      </c>
      <c r="D6" s="29" t="s">
        <v>147</v>
      </c>
    </row>
    <row r="7" spans="2:5" x14ac:dyDescent="0.4">
      <c r="B7" s="45" t="s">
        <v>205</v>
      </c>
      <c r="C7" s="76">
        <f>182/4</f>
        <v>45.5</v>
      </c>
      <c r="D7" s="87">
        <v>1.75</v>
      </c>
    </row>
    <row r="8" spans="2:5" x14ac:dyDescent="0.4">
      <c r="B8" s="45" t="s">
        <v>206</v>
      </c>
      <c r="C8" s="77">
        <v>2.2000000000000002</v>
      </c>
      <c r="D8" s="77">
        <f>('public space'!C20+'public space'!C21)/'public space'!$C$24*C9</f>
        <v>6.7864709636247609</v>
      </c>
    </row>
    <row r="9" spans="2:5" x14ac:dyDescent="0.4">
      <c r="B9" s="45" t="s">
        <v>204</v>
      </c>
      <c r="C9" s="90">
        <f>('public space'!C24*10000)/('public space'!C50*1000)</f>
        <v>17.083599234205487</v>
      </c>
      <c r="D9" s="90"/>
    </row>
    <row r="10" spans="2:5" x14ac:dyDescent="0.4">
      <c r="B10" s="45" t="s">
        <v>207</v>
      </c>
      <c r="C10" s="78">
        <f>C8/C9*(C7/SUM(C7:D7))</f>
        <v>0.12400890991851023</v>
      </c>
      <c r="D10" s="78">
        <f>D8/C9*(D7/SUM(C7:D7))</f>
        <v>1.4712987174698046E-2</v>
      </c>
    </row>
    <row r="11" spans="2:5" x14ac:dyDescent="0.4">
      <c r="B11" s="45" t="s">
        <v>212</v>
      </c>
      <c r="C11" s="91">
        <f>SUM(C7:D7)/'public space'!C50</f>
        <v>3.0153158902361199E-2</v>
      </c>
      <c r="D11" s="91"/>
    </row>
    <row r="12" spans="2:5" x14ac:dyDescent="0.4">
      <c r="B12" s="45" t="s">
        <v>209</v>
      </c>
      <c r="C12" s="92" t="str">
        <f>_xlfn.TEXTJOIN(", ",FALSE,TEXT(('public space'!C20+'public space'!C21)/'public space'!$C$24,"0.0%"),TEXT('public space'!C22/'public space'!$C$24,"0.0%"),TEXT('public space'!C23/'public space'!$C$24,"0.0%"))</f>
        <v>39.7%, 56.6%, 3.7%</v>
      </c>
      <c r="D12" s="92"/>
      <c r="E12" t="s">
        <v>210</v>
      </c>
    </row>
    <row r="13" spans="2:5" x14ac:dyDescent="0.4">
      <c r="B13" s="45" t="s">
        <v>208</v>
      </c>
      <c r="C13" s="92" t="str">
        <f>_xlfn.TEXTJOIN(", ",FALSE,TEXT(('public space'!C20+'public space'!C21)/'public space'!$C$24-C10-D10,"0.0%"),TEXT('public space'!C22/'public space'!$C$24+D10,"0.0%"),TEXT('public space'!C23/'public space'!$C$24+C10,"0.0%"))</f>
        <v>25.9%, 58.1%, 16.1%</v>
      </c>
      <c r="D13" s="92"/>
    </row>
    <row r="14" spans="2:5" x14ac:dyDescent="0.4">
      <c r="B14" s="45" t="s">
        <v>211</v>
      </c>
      <c r="C14" s="79">
        <f>'public space'!C21/('public space'!C20+'public space'!C21)</f>
        <v>0.18524787482133453</v>
      </c>
      <c r="D14" s="79"/>
    </row>
    <row r="15" spans="2:5" x14ac:dyDescent="0.4">
      <c r="B15" s="110" t="s">
        <v>327</v>
      </c>
      <c r="C15" s="96" t="s">
        <v>334</v>
      </c>
    </row>
    <row r="16" spans="2:5" x14ac:dyDescent="0.4">
      <c r="C16" s="96" t="s">
        <v>335</v>
      </c>
    </row>
  </sheetData>
  <mergeCells count="4">
    <mergeCell ref="C9:D9"/>
    <mergeCell ref="C11:D11"/>
    <mergeCell ref="C12:D12"/>
    <mergeCell ref="C13:D13"/>
  </mergeCells>
  <hyperlinks>
    <hyperlink ref="C15" r:id="rId1" xr:uid="{D8DE6434-A421-4ED1-967E-5352A24A56FE}"/>
    <hyperlink ref="C16" r:id="rId2" xr:uid="{C8E48DF0-DF6C-4F7F-AE53-E19DB9D0BF3F}"/>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411CE-AD87-4CA8-AB1A-8A49875D90D6}">
  <sheetPr codeName="Sheet10"/>
  <dimension ref="B2:D39"/>
  <sheetViews>
    <sheetView workbookViewId="0">
      <selection activeCell="B3" sqref="B3"/>
    </sheetView>
  </sheetViews>
  <sheetFormatPr defaultRowHeight="14.6" x14ac:dyDescent="0.4"/>
  <cols>
    <col min="1" max="1" width="3.84375" customWidth="1"/>
    <col min="2" max="2" width="26.3828125" customWidth="1"/>
    <col min="3" max="3" width="11.53515625" customWidth="1"/>
    <col min="6" max="6" width="12.15234375" customWidth="1"/>
    <col min="7" max="9" width="20.69140625" customWidth="1"/>
  </cols>
  <sheetData>
    <row r="2" spans="2:4" ht="28.75" customHeight="1" x14ac:dyDescent="0.55000000000000004">
      <c r="B2" s="84" t="s">
        <v>294</v>
      </c>
    </row>
    <row r="3" spans="2:4" x14ac:dyDescent="0.4">
      <c r="B3" t="s">
        <v>331</v>
      </c>
    </row>
    <row r="5" spans="2:4" x14ac:dyDescent="0.4">
      <c r="B5" s="89" t="s">
        <v>143</v>
      </c>
      <c r="C5" s="89"/>
      <c r="D5" s="29"/>
    </row>
    <row r="6" spans="2:4" x14ac:dyDescent="0.4">
      <c r="B6" s="29"/>
      <c r="C6" s="29" t="s">
        <v>55</v>
      </c>
      <c r="D6" s="29" t="s">
        <v>56</v>
      </c>
    </row>
    <row r="7" spans="2:4" x14ac:dyDescent="0.4">
      <c r="B7" s="45" t="s">
        <v>326</v>
      </c>
      <c r="C7" s="25">
        <v>110</v>
      </c>
      <c r="D7" s="25">
        <v>290</v>
      </c>
    </row>
    <row r="8" spans="2:4" x14ac:dyDescent="0.4">
      <c r="B8" s="103" t="s">
        <v>228</v>
      </c>
      <c r="C8" s="104">
        <f>(C7*demography!C31)/1000</f>
        <v>234642.21</v>
      </c>
      <c r="D8" s="104">
        <f>(D7*demography!D31)/1000</f>
        <v>1368605.12</v>
      </c>
    </row>
    <row r="9" spans="2:4" x14ac:dyDescent="0.4">
      <c r="B9" s="103" t="s">
        <v>229</v>
      </c>
      <c r="C9" s="104">
        <v>48972</v>
      </c>
      <c r="D9" s="104">
        <v>43344</v>
      </c>
    </row>
    <row r="10" spans="2:4" x14ac:dyDescent="0.4">
      <c r="B10" s="103" t="s">
        <v>230</v>
      </c>
      <c r="C10" s="104">
        <f>SUM(C8:C9)</f>
        <v>283614.20999999996</v>
      </c>
      <c r="D10" s="104">
        <f>SUM(D8:D9)</f>
        <v>1411949.12</v>
      </c>
    </row>
    <row r="11" spans="2:4" x14ac:dyDescent="0.4">
      <c r="B11" s="105" t="s">
        <v>237</v>
      </c>
      <c r="C11" s="106">
        <f>C10/demography!C32</f>
        <v>0.25136730403461532</v>
      </c>
      <c r="D11" s="106">
        <f>D10/demography!D32</f>
        <v>0.7023403001170444</v>
      </c>
    </row>
    <row r="12" spans="2:4" x14ac:dyDescent="0.4">
      <c r="B12" s="103" t="s">
        <v>231</v>
      </c>
      <c r="C12" s="107">
        <v>390000</v>
      </c>
      <c r="D12" s="107"/>
    </row>
    <row r="13" spans="2:4" x14ac:dyDescent="0.4">
      <c r="B13" s="103" t="s">
        <v>234</v>
      </c>
      <c r="C13" s="104">
        <v>32294</v>
      </c>
      <c r="D13" s="104">
        <v>14000</v>
      </c>
    </row>
    <row r="14" spans="2:4" x14ac:dyDescent="0.4">
      <c r="B14" s="103" t="s">
        <v>223</v>
      </c>
      <c r="C14" s="108">
        <v>1.5</v>
      </c>
      <c r="D14" s="108">
        <v>2</v>
      </c>
    </row>
    <row r="15" spans="2:4" x14ac:dyDescent="0.4">
      <c r="B15" s="103" t="s">
        <v>233</v>
      </c>
      <c r="C15" s="104">
        <f>(C13/C14)/(C13/C14+D13/D14)*C12</f>
        <v>294309.01528251625</v>
      </c>
      <c r="D15" s="104">
        <f>(D13/D14)/(C13/C14+D13/D14)*C12</f>
        <v>95690.984717483763</v>
      </c>
    </row>
    <row r="16" spans="2:4" x14ac:dyDescent="0.4">
      <c r="B16" s="105" t="s">
        <v>237</v>
      </c>
      <c r="C16" s="106">
        <f>C15/demography!C32</f>
        <v>0.26084611107690447</v>
      </c>
      <c r="D16" s="106">
        <f>D15/demography!D32</f>
        <v>4.7599190348284685E-2</v>
      </c>
    </row>
    <row r="17" spans="2:4" x14ac:dyDescent="0.4">
      <c r="B17" s="103" t="s">
        <v>235</v>
      </c>
      <c r="C17" s="104">
        <v>60000</v>
      </c>
      <c r="D17" s="104"/>
    </row>
    <row r="18" spans="2:4" x14ac:dyDescent="0.4">
      <c r="B18" s="103" t="s">
        <v>226</v>
      </c>
      <c r="C18" s="104">
        <f>C13/'public space'!C23</f>
        <v>327.65827922077921</v>
      </c>
      <c r="D18" s="104"/>
    </row>
    <row r="19" spans="2:4" x14ac:dyDescent="0.4">
      <c r="B19" s="103" t="s">
        <v>227</v>
      </c>
      <c r="C19" s="104"/>
      <c r="D19" s="109">
        <f>D13/C13</f>
        <v>0.43351706199293988</v>
      </c>
    </row>
    <row r="20" spans="2:4" x14ac:dyDescent="0.4">
      <c r="B20" t="s">
        <v>240</v>
      </c>
      <c r="C20" s="92">
        <v>0.03</v>
      </c>
      <c r="D20" s="92"/>
    </row>
    <row r="21" spans="2:4" x14ac:dyDescent="0.4">
      <c r="B21" s="110" t="s">
        <v>327</v>
      </c>
      <c r="C21" s="111" t="s">
        <v>232</v>
      </c>
      <c r="D21" s="17"/>
    </row>
    <row r="22" spans="2:4" x14ac:dyDescent="0.4">
      <c r="B22" s="97"/>
      <c r="C22" s="111" t="s">
        <v>225</v>
      </c>
      <c r="D22" s="17"/>
    </row>
    <row r="23" spans="2:4" x14ac:dyDescent="0.4">
      <c r="B23" s="97"/>
      <c r="C23" s="111" t="s">
        <v>224</v>
      </c>
      <c r="D23" s="17"/>
    </row>
    <row r="24" spans="2:4" x14ac:dyDescent="0.4">
      <c r="B24" s="97"/>
      <c r="C24" s="111" t="s">
        <v>236</v>
      </c>
      <c r="D24" s="17"/>
    </row>
    <row r="25" spans="2:4" x14ac:dyDescent="0.4">
      <c r="B25" s="97"/>
      <c r="C25" s="111" t="s">
        <v>12</v>
      </c>
      <c r="D25" s="17"/>
    </row>
    <row r="26" spans="2:4" x14ac:dyDescent="0.4">
      <c r="B26" s="97"/>
      <c r="C26" s="111" t="s">
        <v>222</v>
      </c>
      <c r="D26" s="17"/>
    </row>
    <row r="27" spans="2:4" x14ac:dyDescent="0.4">
      <c r="C27" s="112" t="s">
        <v>328</v>
      </c>
      <c r="D27" s="17"/>
    </row>
    <row r="29" spans="2:4" x14ac:dyDescent="0.4">
      <c r="B29" s="29" t="s">
        <v>330</v>
      </c>
      <c r="C29" s="29"/>
      <c r="D29" s="29"/>
    </row>
    <row r="30" spans="2:4" x14ac:dyDescent="0.4">
      <c r="B30" s="29"/>
      <c r="C30" s="29" t="s">
        <v>55</v>
      </c>
      <c r="D30" s="29" t="s">
        <v>56</v>
      </c>
    </row>
    <row r="31" spans="2:4" x14ac:dyDescent="0.4">
      <c r="B31" t="s">
        <v>132</v>
      </c>
      <c r="C31" s="21">
        <f>0.325</f>
        <v>0.32500000000000001</v>
      </c>
      <c r="D31" s="21">
        <f>SUMPRODUCT(demography!C21:E21,demography!C10:E10)/SUM(demography!C10:E10)</f>
        <v>0.63459259163458681</v>
      </c>
    </row>
    <row r="32" spans="2:4" x14ac:dyDescent="0.4">
      <c r="B32" t="s">
        <v>134</v>
      </c>
      <c r="C32" s="21">
        <f>(2*3.9+28.6)/32.5</f>
        <v>1.1199999999999999</v>
      </c>
      <c r="D32" s="21">
        <f>SUMPRODUCT(demography!C22:E22,demography!C10:E10)/SUM(demography!C10:E10)</f>
        <v>1.2408904118596136</v>
      </c>
    </row>
    <row r="33" spans="2:4" x14ac:dyDescent="0.4">
      <c r="B33" t="s">
        <v>124</v>
      </c>
      <c r="C33" s="10">
        <f>C31*demography!C32*C32</f>
        <v>410696.10399999999</v>
      </c>
      <c r="D33" s="10">
        <f>D31*demography!D32*D32</f>
        <v>1583069.1469089454</v>
      </c>
    </row>
    <row r="34" spans="2:4" x14ac:dyDescent="0.4">
      <c r="B34" t="s">
        <v>246</v>
      </c>
      <c r="C34" s="21">
        <f>C31*(1-demography!C58)</f>
        <v>0.24526666666666669</v>
      </c>
      <c r="D34" s="21">
        <f>D31*(1-demography!D58)</f>
        <v>0.47146633936088317</v>
      </c>
    </row>
    <row r="35" spans="2:4" x14ac:dyDescent="0.4">
      <c r="B35" t="s">
        <v>249</v>
      </c>
      <c r="C35" s="10">
        <f>demography!C58*demography!C31</f>
        <v>523323.23199999996</v>
      </c>
      <c r="D35" s="10">
        <f>demography!D58*demography!D31</f>
        <v>1213134.6946666669</v>
      </c>
    </row>
    <row r="36" spans="2:4" x14ac:dyDescent="0.4">
      <c r="B36" t="s">
        <v>248</v>
      </c>
      <c r="C36" s="10">
        <f>C34*demography!C31</f>
        <v>523181.02460000006</v>
      </c>
      <c r="D36" s="10">
        <f>D34*demography!D31</f>
        <v>2225004.2964033182</v>
      </c>
    </row>
    <row r="37" spans="2:4" x14ac:dyDescent="0.4">
      <c r="B37" t="s">
        <v>247</v>
      </c>
      <c r="C37" s="10">
        <f>demography!C31-C35-C36</f>
        <v>1086606.7434</v>
      </c>
      <c r="D37" s="10">
        <f>demography!D31-D35-D36</f>
        <v>1281189.0089300149</v>
      </c>
    </row>
    <row r="38" spans="2:4" x14ac:dyDescent="0.4">
      <c r="B38" t="s">
        <v>250</v>
      </c>
      <c r="C38" s="21">
        <f>C33/C36</f>
        <v>0.78499808802125259</v>
      </c>
      <c r="D38" s="21">
        <f>D33/D36</f>
        <v>0.71149037755475342</v>
      </c>
    </row>
    <row r="39" spans="2:4" x14ac:dyDescent="0.4">
      <c r="B39" s="95" t="s">
        <v>302</v>
      </c>
      <c r="C39" s="96" t="s">
        <v>300</v>
      </c>
    </row>
  </sheetData>
  <mergeCells count="2">
    <mergeCell ref="B5:C5"/>
    <mergeCell ref="C20:D20"/>
  </mergeCells>
  <hyperlinks>
    <hyperlink ref="C21" r:id="rId1" xr:uid="{1709840F-B11B-4FEF-AB4C-B1FA4FA2484F}"/>
    <hyperlink ref="C22" r:id="rId2" xr:uid="{54C35E80-3673-46D9-9AD7-F1ED6D79AFD4}"/>
    <hyperlink ref="C23" r:id="rId3" xr:uid="{B8244345-FA6C-4183-8DDA-71C2A7B8797B}"/>
    <hyperlink ref="C24" r:id="rId4" xr:uid="{F1443B4C-7821-4344-8B07-72755E961069}"/>
    <hyperlink ref="C25" r:id="rId5" xr:uid="{1D6242CA-C67C-4EC9-A69B-E3900BF3FABF}"/>
    <hyperlink ref="C26" r:id="rId6" xr:uid="{377A6D4A-02FC-4052-8E19-C3823542902C}"/>
    <hyperlink ref="C39" r:id="rId7" xr:uid="{27BF803E-30E1-4F40-AFE1-AC95E6DCB2A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523A3-CFB7-4EC2-AEF2-A3A544EA86D5}">
  <sheetPr codeName="Sheet11"/>
  <dimension ref="B2:E25"/>
  <sheetViews>
    <sheetView workbookViewId="0">
      <selection activeCell="B3" sqref="B3"/>
    </sheetView>
  </sheetViews>
  <sheetFormatPr defaultRowHeight="14.6" x14ac:dyDescent="0.4"/>
  <cols>
    <col min="1" max="1" width="3.84375" customWidth="1"/>
    <col min="2" max="2" width="26.3828125" customWidth="1"/>
    <col min="3" max="4" width="17.53515625" bestFit="1" customWidth="1"/>
    <col min="6" max="6" width="12.15234375" customWidth="1"/>
    <col min="7" max="9" width="20.69140625" customWidth="1"/>
  </cols>
  <sheetData>
    <row r="2" spans="2:4" ht="28.75" customHeight="1" x14ac:dyDescent="0.55000000000000004">
      <c r="B2" s="84" t="s">
        <v>283</v>
      </c>
    </row>
    <row r="3" spans="2:4" x14ac:dyDescent="0.4">
      <c r="B3" t="s">
        <v>337</v>
      </c>
    </row>
    <row r="5" spans="2:4" x14ac:dyDescent="0.4">
      <c r="B5" s="1" t="s">
        <v>121</v>
      </c>
      <c r="C5" s="1" t="s">
        <v>284</v>
      </c>
      <c r="D5" s="1" t="s">
        <v>289</v>
      </c>
    </row>
    <row r="6" spans="2:4" x14ac:dyDescent="0.4">
      <c r="B6" s="105" t="s">
        <v>285</v>
      </c>
      <c r="C6" s="114">
        <v>7290000</v>
      </c>
      <c r="D6" s="114">
        <v>11070000</v>
      </c>
    </row>
    <row r="7" spans="2:4" x14ac:dyDescent="0.4">
      <c r="B7" s="105" t="s">
        <v>287</v>
      </c>
      <c r="C7" s="114">
        <v>830000</v>
      </c>
      <c r="D7" s="114">
        <v>2100000</v>
      </c>
    </row>
    <row r="8" spans="2:4" x14ac:dyDescent="0.4">
      <c r="B8" s="105" t="s">
        <v>286</v>
      </c>
      <c r="C8" s="113">
        <f>C6/demography!C$31</f>
        <v>3.4175436721295798</v>
      </c>
      <c r="D8" s="113">
        <f>D6/demography!D$31</f>
        <v>2.3456729432664991</v>
      </c>
    </row>
    <row r="9" spans="2:4" x14ac:dyDescent="0.4">
      <c r="B9" s="86" t="s">
        <v>288</v>
      </c>
      <c r="C9" s="113">
        <f>C7/demography!C$31</f>
        <v>0.38910305183368327</v>
      </c>
      <c r="D9" s="113">
        <f>D7/demography!D$31</f>
        <v>0.44497860712372611</v>
      </c>
    </row>
    <row r="10" spans="2:4" x14ac:dyDescent="0.4">
      <c r="B10" s="86"/>
      <c r="C10" s="1" t="s">
        <v>55</v>
      </c>
      <c r="D10" s="113"/>
    </row>
    <row r="11" spans="2:4" x14ac:dyDescent="0.4">
      <c r="B11" s="105" t="s">
        <v>290</v>
      </c>
      <c r="C11" s="106">
        <f>'mode choice'!C14/SUM('mode choice'!C11:C14)</f>
        <v>0.6481042654028436</v>
      </c>
      <c r="D11" s="115"/>
    </row>
    <row r="12" spans="2:4" x14ac:dyDescent="0.4">
      <c r="B12" s="105" t="s">
        <v>291</v>
      </c>
      <c r="C12" s="116">
        <f>C11*C8</f>
        <v>2.214924631107678</v>
      </c>
      <c r="D12" s="115"/>
    </row>
    <row r="13" spans="2:4" x14ac:dyDescent="0.4">
      <c r="B13" s="105" t="s">
        <v>292</v>
      </c>
      <c r="C13" s="116">
        <f>(1-C11)*C8</f>
        <v>1.202619041021902</v>
      </c>
      <c r="D13" s="115"/>
    </row>
    <row r="14" spans="2:4" x14ac:dyDescent="0.4">
      <c r="B14" s="31" t="s">
        <v>310</v>
      </c>
      <c r="C14" s="117" t="s">
        <v>338</v>
      </c>
      <c r="D14" s="24"/>
    </row>
    <row r="16" spans="2:4" x14ac:dyDescent="0.4">
      <c r="B16" s="29" t="s">
        <v>74</v>
      </c>
      <c r="C16" s="29"/>
      <c r="D16" s="29"/>
    </row>
    <row r="17" spans="2:5" x14ac:dyDescent="0.4">
      <c r="B17" t="s">
        <v>213</v>
      </c>
      <c r="C17">
        <v>1.74</v>
      </c>
      <c r="E17" t="s">
        <v>16</v>
      </c>
    </row>
    <row r="18" spans="2:5" x14ac:dyDescent="0.4">
      <c r="B18" t="s">
        <v>214</v>
      </c>
      <c r="C18">
        <v>8.17</v>
      </c>
      <c r="E18" t="s">
        <v>16</v>
      </c>
    </row>
    <row r="19" spans="2:5" x14ac:dyDescent="0.4">
      <c r="B19" t="s">
        <v>215</v>
      </c>
      <c r="C19">
        <v>8.8000000000000007</v>
      </c>
      <c r="E19" t="s">
        <v>15</v>
      </c>
    </row>
    <row r="20" spans="2:5" x14ac:dyDescent="0.4">
      <c r="B20" t="s">
        <v>123</v>
      </c>
      <c r="C20">
        <v>5</v>
      </c>
      <c r="E20" t="s">
        <v>75</v>
      </c>
    </row>
    <row r="21" spans="2:5" x14ac:dyDescent="0.4">
      <c r="B21" t="s">
        <v>122</v>
      </c>
      <c r="C21">
        <v>8</v>
      </c>
      <c r="E21" t="s">
        <v>75</v>
      </c>
    </row>
    <row r="22" spans="2:5" x14ac:dyDescent="0.4">
      <c r="B22" s="31" t="s">
        <v>310</v>
      </c>
      <c r="C22" s="34" t="s">
        <v>14</v>
      </c>
      <c r="D22" s="3"/>
    </row>
    <row r="24" spans="2:5" x14ac:dyDescent="0.4">
      <c r="B24" s="34" t="s">
        <v>345</v>
      </c>
    </row>
    <row r="25" spans="2:5" x14ac:dyDescent="0.4">
      <c r="B25" s="34" t="s">
        <v>297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C03D7-9F73-40DD-9DE0-F0DEE8175263}">
  <sheetPr codeName="Sheet4"/>
  <dimension ref="B2:Q151"/>
  <sheetViews>
    <sheetView zoomScaleNormal="100" workbookViewId="0">
      <selection activeCell="B3" sqref="B3"/>
    </sheetView>
  </sheetViews>
  <sheetFormatPr defaultRowHeight="14.6" x14ac:dyDescent="0.4"/>
  <cols>
    <col min="1" max="1" width="4.765625" customWidth="1"/>
    <col min="2" max="2" width="34.765625" customWidth="1"/>
    <col min="3" max="3" width="17.3828125" customWidth="1"/>
    <col min="4" max="4" width="18.61328125" customWidth="1"/>
    <col min="5" max="5" width="57.69140625" bestFit="1" customWidth="1"/>
    <col min="6" max="6" width="18.23046875" customWidth="1"/>
    <col min="7" max="7" width="28.84375" customWidth="1"/>
    <col min="8" max="8" width="14.23046875" customWidth="1"/>
    <col min="9" max="9" width="10.84375" customWidth="1"/>
    <col min="10" max="10" width="12.07421875" customWidth="1"/>
    <col min="11" max="13" width="10.765625" customWidth="1"/>
    <col min="14" max="14" width="7.84375" customWidth="1"/>
    <col min="15" max="15" width="30.765625" customWidth="1"/>
    <col min="16" max="20" width="10.765625" customWidth="1"/>
    <col min="21" max="21" width="13.23046875" customWidth="1"/>
    <col min="24" max="24" width="11" bestFit="1" customWidth="1"/>
  </cols>
  <sheetData>
    <row r="2" spans="2:4" ht="28.75" customHeight="1" x14ac:dyDescent="0.55000000000000004">
      <c r="B2" s="84" t="s">
        <v>202</v>
      </c>
    </row>
    <row r="3" spans="2:4" x14ac:dyDescent="0.4">
      <c r="B3" t="s">
        <v>344</v>
      </c>
    </row>
    <row r="5" spans="2:4" x14ac:dyDescent="0.4">
      <c r="B5" s="29" t="s">
        <v>217</v>
      </c>
      <c r="C5" s="29"/>
      <c r="D5" s="29"/>
    </row>
    <row r="6" spans="2:4" x14ac:dyDescent="0.4">
      <c r="B6" s="58" t="s">
        <v>339</v>
      </c>
      <c r="C6" s="58" t="s">
        <v>341</v>
      </c>
      <c r="D6" s="58"/>
    </row>
    <row r="7" spans="2:4" x14ac:dyDescent="0.4">
      <c r="B7" s="58"/>
      <c r="C7" s="58" t="s">
        <v>342</v>
      </c>
      <c r="D7" s="58"/>
    </row>
    <row r="8" spans="2:4" x14ac:dyDescent="0.4">
      <c r="B8" s="58"/>
      <c r="C8" s="58" t="s">
        <v>343</v>
      </c>
      <c r="D8" s="58"/>
    </row>
    <row r="9" spans="2:4" x14ac:dyDescent="0.4">
      <c r="B9" s="80" t="s">
        <v>216</v>
      </c>
      <c r="C9" s="80"/>
      <c r="D9" s="80"/>
    </row>
    <row r="10" spans="2:4" x14ac:dyDescent="0.4">
      <c r="B10" s="80"/>
      <c r="C10" s="80" t="s">
        <v>151</v>
      </c>
      <c r="D10" s="80" t="s">
        <v>149</v>
      </c>
    </row>
    <row r="11" spans="2:4" x14ac:dyDescent="0.4">
      <c r="B11" s="45" t="s">
        <v>41</v>
      </c>
      <c r="C11" s="25">
        <v>2230</v>
      </c>
      <c r="D11" s="27">
        <f>2050</f>
        <v>2050</v>
      </c>
    </row>
    <row r="12" spans="2:4" x14ac:dyDescent="0.4">
      <c r="B12" s="45" t="s">
        <v>145</v>
      </c>
      <c r="C12" s="25">
        <f>310+140</f>
        <v>450</v>
      </c>
      <c r="D12" s="27">
        <f>(590+80)</f>
        <v>670</v>
      </c>
    </row>
    <row r="13" spans="2:4" x14ac:dyDescent="0.4">
      <c r="B13" t="s">
        <v>148</v>
      </c>
      <c r="C13" s="25">
        <f>210+80</f>
        <v>290</v>
      </c>
      <c r="D13" s="27">
        <f>(100+50)</f>
        <v>150</v>
      </c>
    </row>
    <row r="14" spans="2:4" x14ac:dyDescent="0.4">
      <c r="B14" t="s">
        <v>147</v>
      </c>
      <c r="C14" s="25">
        <f>5470</f>
        <v>5470</v>
      </c>
      <c r="D14" s="27">
        <f>140</f>
        <v>140</v>
      </c>
    </row>
    <row r="15" spans="2:4" x14ac:dyDescent="0.4">
      <c r="B15" s="80" t="s">
        <v>43</v>
      </c>
      <c r="C15" s="80" t="s">
        <v>218</v>
      </c>
      <c r="D15" s="80" t="s">
        <v>150</v>
      </c>
    </row>
    <row r="16" spans="2:4" x14ac:dyDescent="0.4">
      <c r="B16" t="s">
        <v>144</v>
      </c>
      <c r="C16" s="25">
        <f>C12</f>
        <v>450</v>
      </c>
      <c r="D16" s="47">
        <f>D12</f>
        <v>670</v>
      </c>
    </row>
    <row r="17" spans="2:15" x14ac:dyDescent="0.4">
      <c r="B17" t="s">
        <v>41</v>
      </c>
      <c r="C17" s="25">
        <f>C11</f>
        <v>2230</v>
      </c>
      <c r="D17" s="47">
        <f>D11</f>
        <v>2050</v>
      </c>
    </row>
    <row r="18" spans="2:15" x14ac:dyDescent="0.4">
      <c r="B18" t="s">
        <v>146</v>
      </c>
      <c r="C18" s="25">
        <f>C13+D13</f>
        <v>440</v>
      </c>
      <c r="D18" s="47">
        <v>0</v>
      </c>
    </row>
    <row r="19" spans="2:15" x14ac:dyDescent="0.4">
      <c r="B19" t="s">
        <v>147</v>
      </c>
      <c r="C19" s="25">
        <f>C14+D14</f>
        <v>5610</v>
      </c>
      <c r="D19" s="47">
        <v>0</v>
      </c>
    </row>
    <row r="20" spans="2:15" x14ac:dyDescent="0.4">
      <c r="B20" s="3" t="s">
        <v>340</v>
      </c>
    </row>
    <row r="21" spans="2:15" x14ac:dyDescent="0.4">
      <c r="B21" s="80" t="s">
        <v>219</v>
      </c>
      <c r="C21" s="80" t="s">
        <v>123</v>
      </c>
      <c r="D21" s="80" t="s">
        <v>122</v>
      </c>
    </row>
    <row r="22" spans="2:15" x14ac:dyDescent="0.4">
      <c r="B22" t="s">
        <v>144</v>
      </c>
      <c r="C22" s="6">
        <f>C16/SUM($C$16:$C$18)</f>
        <v>0.14423076923076922</v>
      </c>
      <c r="D22" s="6">
        <f>D16/SUM($D$16:$D$17)</f>
        <v>0.24632352941176472</v>
      </c>
    </row>
    <row r="23" spans="2:15" x14ac:dyDescent="0.4">
      <c r="B23" t="s">
        <v>41</v>
      </c>
      <c r="C23" s="6">
        <f>C17/SUM($C$16:$C$18)</f>
        <v>0.71474358974358976</v>
      </c>
      <c r="D23" s="6">
        <f>D17/SUM($D$16:$D$17)</f>
        <v>0.75367647058823528</v>
      </c>
    </row>
    <row r="24" spans="2:15" x14ac:dyDescent="0.4">
      <c r="B24" t="s">
        <v>146</v>
      </c>
      <c r="C24" s="6">
        <f>C18/SUM($C$16:$C$18)</f>
        <v>0.14102564102564102</v>
      </c>
      <c r="D24" s="6">
        <v>0</v>
      </c>
    </row>
    <row r="25" spans="2:15" x14ac:dyDescent="0.4">
      <c r="B25" t="s">
        <v>252</v>
      </c>
      <c r="C25" s="6">
        <f>C14/SUM(C11:C14)</f>
        <v>0.6481042654028436</v>
      </c>
    </row>
    <row r="26" spans="2:15" x14ac:dyDescent="0.4">
      <c r="B26" s="31" t="s">
        <v>310</v>
      </c>
      <c r="C26" s="117" t="s">
        <v>338</v>
      </c>
    </row>
    <row r="28" spans="2:15" x14ac:dyDescent="0.4">
      <c r="B28" s="29" t="s">
        <v>128</v>
      </c>
      <c r="C28" s="29"/>
      <c r="D28" s="29"/>
    </row>
    <row r="29" spans="2:15" x14ac:dyDescent="0.4">
      <c r="B29" t="s">
        <v>126</v>
      </c>
      <c r="C29" s="9">
        <v>0.4</v>
      </c>
      <c r="D29" s="10"/>
    </row>
    <row r="30" spans="2:15" x14ac:dyDescent="0.4">
      <c r="B30" t="s">
        <v>17</v>
      </c>
      <c r="C30" s="10">
        <v>4</v>
      </c>
    </row>
    <row r="31" spans="2:15" x14ac:dyDescent="0.4">
      <c r="C31" s="10"/>
      <c r="D31" s="10"/>
      <c r="O31" s="46"/>
    </row>
    <row r="32" spans="2:15" x14ac:dyDescent="0.4">
      <c r="B32" s="29" t="s">
        <v>20</v>
      </c>
      <c r="C32" s="29"/>
      <c r="D32" s="29"/>
    </row>
    <row r="33" spans="2:16" x14ac:dyDescent="0.4">
      <c r="B33" t="s">
        <v>127</v>
      </c>
      <c r="C33" s="9">
        <v>1.2</v>
      </c>
      <c r="D33" s="10"/>
    </row>
    <row r="34" spans="2:16" x14ac:dyDescent="0.4">
      <c r="B34" t="s">
        <v>19</v>
      </c>
      <c r="C34">
        <v>18</v>
      </c>
    </row>
    <row r="35" spans="2:16" x14ac:dyDescent="0.4">
      <c r="B35" t="s">
        <v>29</v>
      </c>
      <c r="C35">
        <v>30</v>
      </c>
    </row>
    <row r="36" spans="2:16" x14ac:dyDescent="0.4">
      <c r="B36" s="95" t="s">
        <v>327</v>
      </c>
      <c r="C36" s="97" t="s">
        <v>21</v>
      </c>
      <c r="E36" s="10"/>
    </row>
    <row r="37" spans="2:16" x14ac:dyDescent="0.4">
      <c r="C37" s="97" t="s">
        <v>28</v>
      </c>
      <c r="E37" s="10"/>
    </row>
    <row r="38" spans="2:16" x14ac:dyDescent="0.4">
      <c r="O38" s="48"/>
    </row>
    <row r="39" spans="2:16" x14ac:dyDescent="0.4">
      <c r="B39" s="29" t="s">
        <v>100</v>
      </c>
      <c r="C39" s="29"/>
      <c r="D39" s="29"/>
      <c r="P39" s="6"/>
    </row>
    <row r="40" spans="2:16" x14ac:dyDescent="0.4">
      <c r="B40" t="s">
        <v>97</v>
      </c>
      <c r="C40">
        <f>ROUND(SUMPRODUCT('mode choice'!E59:E66,'mode choice'!C59:C66)/SUM('mode choice'!C59:C66),0)</f>
        <v>132</v>
      </c>
      <c r="P40" s="7"/>
    </row>
    <row r="41" spans="2:16" x14ac:dyDescent="0.4">
      <c r="B41" t="s">
        <v>98</v>
      </c>
      <c r="C41">
        <f>ROUND(SUMPRODUCT('mode choice'!D59:D66,'mode choice'!C59:C66)/SUM('mode choice'!C59:C66),0)</f>
        <v>590</v>
      </c>
      <c r="P41" s="6"/>
    </row>
    <row r="42" spans="2:16" x14ac:dyDescent="0.4">
      <c r="B42" t="s">
        <v>272</v>
      </c>
      <c r="C42" s="21">
        <f>C40/C41</f>
        <v>0.22372881355932203</v>
      </c>
      <c r="D42" s="21"/>
      <c r="E42" s="46"/>
    </row>
    <row r="43" spans="2:16" x14ac:dyDescent="0.4">
      <c r="B43" t="s">
        <v>239</v>
      </c>
      <c r="C43">
        <v>0.01</v>
      </c>
    </row>
    <row r="44" spans="2:16" x14ac:dyDescent="0.4">
      <c r="B44" t="s">
        <v>271</v>
      </c>
      <c r="C44" s="26">
        <f>(1+C43)^(1/10)-1</f>
        <v>9.9552829497362438E-4</v>
      </c>
    </row>
    <row r="46" spans="2:16" x14ac:dyDescent="0.4">
      <c r="B46" s="29" t="s">
        <v>238</v>
      </c>
      <c r="C46" s="29"/>
      <c r="D46" s="29"/>
    </row>
    <row r="47" spans="2:16" x14ac:dyDescent="0.4">
      <c r="B47" t="s">
        <v>220</v>
      </c>
      <c r="C47">
        <v>40</v>
      </c>
      <c r="E47" s="10"/>
    </row>
    <row r="48" spans="2:16" x14ac:dyDescent="0.4">
      <c r="B48" t="s">
        <v>221</v>
      </c>
      <c r="C48">
        <v>50</v>
      </c>
      <c r="E48" s="23"/>
    </row>
    <row r="49" spans="2:9" x14ac:dyDescent="0.4">
      <c r="B49" s="95" t="s">
        <v>327</v>
      </c>
      <c r="C49" s="97" t="s">
        <v>120</v>
      </c>
    </row>
    <row r="50" spans="2:9" x14ac:dyDescent="0.4">
      <c r="B50" s="97"/>
      <c r="C50" s="97" t="s">
        <v>119</v>
      </c>
      <c r="F50" s="6"/>
      <c r="G50" s="6"/>
    </row>
    <row r="51" spans="2:9" x14ac:dyDescent="0.4">
      <c r="F51" s="6"/>
      <c r="G51" s="6"/>
    </row>
    <row r="52" spans="2:9" x14ac:dyDescent="0.4">
      <c r="B52" s="29" t="s">
        <v>241</v>
      </c>
      <c r="C52" s="29"/>
      <c r="D52" s="29"/>
      <c r="F52" s="6"/>
      <c r="G52" s="6"/>
    </row>
    <row r="53" spans="2:9" x14ac:dyDescent="0.4">
      <c r="B53" t="s">
        <v>242</v>
      </c>
      <c r="C53">
        <v>25</v>
      </c>
      <c r="D53" t="s">
        <v>22</v>
      </c>
    </row>
    <row r="54" spans="2:9" x14ac:dyDescent="0.4">
      <c r="B54" t="s">
        <v>243</v>
      </c>
      <c r="C54">
        <v>18</v>
      </c>
      <c r="D54" t="s">
        <v>22</v>
      </c>
    </row>
    <row r="55" spans="2:9" x14ac:dyDescent="0.4">
      <c r="B55" s="95" t="s">
        <v>310</v>
      </c>
      <c r="C55" s="34" t="s">
        <v>244</v>
      </c>
    </row>
    <row r="57" spans="2:9" x14ac:dyDescent="0.4">
      <c r="B57" s="89" t="s">
        <v>77</v>
      </c>
      <c r="C57" s="89"/>
      <c r="D57" s="89"/>
      <c r="E57" s="89"/>
      <c r="G57" s="89" t="s">
        <v>13</v>
      </c>
      <c r="H57" s="89"/>
      <c r="I57" s="89"/>
    </row>
    <row r="58" spans="2:9" x14ac:dyDescent="0.4">
      <c r="B58" t="s">
        <v>78</v>
      </c>
      <c r="C58" t="s">
        <v>88</v>
      </c>
      <c r="D58" t="s">
        <v>79</v>
      </c>
      <c r="E58" t="s">
        <v>89</v>
      </c>
      <c r="G58">
        <v>4</v>
      </c>
      <c r="H58">
        <v>20</v>
      </c>
      <c r="I58" s="13">
        <f>H58/SUM($H$58:$H$77)</f>
        <v>1.4445648248465151E-3</v>
      </c>
    </row>
    <row r="59" spans="2:9" x14ac:dyDescent="0.4">
      <c r="B59" t="s">
        <v>80</v>
      </c>
      <c r="C59">
        <v>30</v>
      </c>
      <c r="D59" s="3">
        <f>$D$61</f>
        <v>698</v>
      </c>
      <c r="E59" s="24">
        <f>$E$64/$D$64*D59</f>
        <v>155.65156794425087</v>
      </c>
      <c r="G59">
        <v>5</v>
      </c>
      <c r="H59">
        <v>100</v>
      </c>
      <c r="I59" s="13">
        <f>H59/SUM($H$58:$H$77)</f>
        <v>7.2228241242325748E-3</v>
      </c>
    </row>
    <row r="60" spans="2:9" x14ac:dyDescent="0.4">
      <c r="B60" t="s">
        <v>81</v>
      </c>
      <c r="C60">
        <v>73</v>
      </c>
      <c r="D60" s="3">
        <f>$D$61</f>
        <v>698</v>
      </c>
      <c r="E60" s="24">
        <f>$E$64/$D$64*D60</f>
        <v>155.65156794425087</v>
      </c>
      <c r="G60">
        <v>6</v>
      </c>
      <c r="H60">
        <v>250</v>
      </c>
      <c r="I60" s="13">
        <f>H60/SUM($H$58:$H$77)</f>
        <v>1.8057060310581439E-2</v>
      </c>
    </row>
    <row r="61" spans="2:9" x14ac:dyDescent="0.4">
      <c r="B61" t="s">
        <v>82</v>
      </c>
      <c r="C61">
        <v>67</v>
      </c>
      <c r="D61" s="8">
        <v>698</v>
      </c>
      <c r="E61" s="24">
        <f>$E$64/$D$64*D61</f>
        <v>155.65156794425087</v>
      </c>
      <c r="G61" s="8">
        <v>7</v>
      </c>
      <c r="H61" s="8">
        <v>790</v>
      </c>
      <c r="I61" s="14">
        <f>H61/SUM($H$58:$H$77)</f>
        <v>5.7060310581437339E-2</v>
      </c>
    </row>
    <row r="62" spans="2:9" x14ac:dyDescent="0.4">
      <c r="B62" t="s">
        <v>83</v>
      </c>
      <c r="C62">
        <v>87</v>
      </c>
      <c r="D62" s="3">
        <f>$D$61</f>
        <v>698</v>
      </c>
      <c r="E62" s="24">
        <f>$E$64/$D$64*D62</f>
        <v>155.65156794425087</v>
      </c>
      <c r="G62" s="8">
        <v>8</v>
      </c>
      <c r="H62" s="8">
        <v>1300</v>
      </c>
      <c r="I62" s="14">
        <f>H62/SUM($H$58:$H$77)</f>
        <v>9.3896713615023469E-2</v>
      </c>
    </row>
    <row r="63" spans="2:9" x14ac:dyDescent="0.4">
      <c r="B63" t="s">
        <v>84</v>
      </c>
      <c r="C63">
        <v>133</v>
      </c>
      <c r="D63">
        <v>425</v>
      </c>
      <c r="E63" s="24">
        <f>$E$64/$D$64*D63</f>
        <v>94.773519163763069</v>
      </c>
      <c r="G63">
        <v>9</v>
      </c>
      <c r="H63">
        <v>600</v>
      </c>
      <c r="I63" s="40">
        <f>H63/SUM($H$58:$H$77)</f>
        <v>4.3336944745395449E-2</v>
      </c>
    </row>
    <row r="64" spans="2:9" x14ac:dyDescent="0.4">
      <c r="B64" t="s">
        <v>85</v>
      </c>
      <c r="C64">
        <v>195</v>
      </c>
      <c r="D64">
        <v>574</v>
      </c>
      <c r="E64" s="33">
        <v>128</v>
      </c>
      <c r="F64" s="6"/>
      <c r="G64">
        <v>10</v>
      </c>
      <c r="H64">
        <v>640</v>
      </c>
      <c r="I64" s="13">
        <f>H64/SUM($H$58:$H$77)</f>
        <v>4.6226074395088482E-2</v>
      </c>
    </row>
    <row r="65" spans="2:17" x14ac:dyDescent="0.4">
      <c r="B65" t="s">
        <v>86</v>
      </c>
      <c r="C65">
        <v>8</v>
      </c>
      <c r="D65">
        <v>425</v>
      </c>
      <c r="E65" s="24">
        <f>$E$64/$D$64*D65</f>
        <v>94.773519163763069</v>
      </c>
      <c r="G65">
        <v>11</v>
      </c>
      <c r="H65">
        <v>780</v>
      </c>
      <c r="I65" s="13">
        <f>H65/SUM($H$58:$H$77)</f>
        <v>5.6338028169014086E-2</v>
      </c>
    </row>
    <row r="66" spans="2:17" x14ac:dyDescent="0.4">
      <c r="B66" t="s">
        <v>87</v>
      </c>
      <c r="C66">
        <v>172</v>
      </c>
      <c r="D66">
        <v>581</v>
      </c>
      <c r="E66" s="24">
        <f>$E$64/$D$64*D66</f>
        <v>129.5609756097561</v>
      </c>
      <c r="G66">
        <v>12</v>
      </c>
      <c r="H66">
        <v>810</v>
      </c>
      <c r="I66" s="13">
        <f>H66/SUM($H$58:$H$77)</f>
        <v>5.8504875406283859E-2</v>
      </c>
    </row>
    <row r="67" spans="2:17" x14ac:dyDescent="0.4">
      <c r="B67" s="96" t="s">
        <v>91</v>
      </c>
      <c r="G67">
        <v>13</v>
      </c>
      <c r="H67">
        <v>815</v>
      </c>
      <c r="I67" s="13">
        <f>H67/SUM($H$58:$H$77)</f>
        <v>5.8866016612495485E-2</v>
      </c>
    </row>
    <row r="68" spans="2:17" x14ac:dyDescent="0.4">
      <c r="G68">
        <v>14</v>
      </c>
      <c r="H68">
        <v>700</v>
      </c>
      <c r="I68" s="13">
        <f>H68/SUM($H$58:$H$77)</f>
        <v>5.0559768869628027E-2</v>
      </c>
      <c r="Q68" s="23"/>
    </row>
    <row r="69" spans="2:17" x14ac:dyDescent="0.4">
      <c r="B69" t="s">
        <v>96</v>
      </c>
      <c r="C69">
        <v>2</v>
      </c>
      <c r="D69" s="97" t="s">
        <v>93</v>
      </c>
      <c r="G69">
        <v>15</v>
      </c>
      <c r="H69">
        <v>800</v>
      </c>
      <c r="I69" s="13">
        <f>H69/SUM($H$58:$H$77)</f>
        <v>5.7782592993860599E-2</v>
      </c>
      <c r="Q69" s="23"/>
    </row>
    <row r="70" spans="2:17" x14ac:dyDescent="0.4">
      <c r="B70" t="s">
        <v>92</v>
      </c>
      <c r="C70" s="6">
        <f>0.23/0.82</f>
        <v>0.28048780487804881</v>
      </c>
      <c r="D70" t="s">
        <v>102</v>
      </c>
      <c r="G70" s="8">
        <v>16</v>
      </c>
      <c r="H70" s="8">
        <v>1350</v>
      </c>
      <c r="I70" s="14">
        <f>H70/SUM($H$58:$H$77)</f>
        <v>9.7508125677139762E-2</v>
      </c>
      <c r="Q70" s="23"/>
    </row>
    <row r="71" spans="2:17" x14ac:dyDescent="0.4">
      <c r="B71" t="s">
        <v>94</v>
      </c>
      <c r="C71">
        <v>1400000</v>
      </c>
      <c r="D71" s="96" t="s">
        <v>95</v>
      </c>
      <c r="G71" s="8">
        <v>17</v>
      </c>
      <c r="H71" s="8">
        <v>1340</v>
      </c>
      <c r="I71" s="14">
        <f>H71/SUM($H$58:$H$77)</f>
        <v>9.6785843264716509E-2</v>
      </c>
      <c r="Q71" s="23"/>
    </row>
    <row r="72" spans="2:17" x14ac:dyDescent="0.4">
      <c r="B72" t="s">
        <v>76</v>
      </c>
      <c r="C72">
        <v>17</v>
      </c>
      <c r="G72" s="8">
        <v>18</v>
      </c>
      <c r="H72" s="8">
        <v>1280</v>
      </c>
      <c r="I72" s="14">
        <f>H72/SUM($H$58:$H$77)</f>
        <v>9.2452148790176963E-2</v>
      </c>
      <c r="J72" s="41">
        <f>SUM(I61:I62,I70:I72)</f>
        <v>0.43770314192849402</v>
      </c>
      <c r="Q72" s="23"/>
    </row>
    <row r="73" spans="2:17" x14ac:dyDescent="0.4">
      <c r="B73" t="s">
        <v>101</v>
      </c>
      <c r="G73">
        <v>19</v>
      </c>
      <c r="H73">
        <v>1000</v>
      </c>
      <c r="I73" s="13">
        <f>H73/SUM($H$58:$H$77)</f>
        <v>7.2228241242325755E-2</v>
      </c>
      <c r="Q73" s="25"/>
    </row>
    <row r="74" spans="2:17" x14ac:dyDescent="0.4">
      <c r="G74">
        <v>20</v>
      </c>
      <c r="H74">
        <v>580</v>
      </c>
      <c r="I74" s="13">
        <f>H74/SUM($H$58:$H$77)</f>
        <v>4.1892379920548936E-2</v>
      </c>
      <c r="Q74" s="25"/>
    </row>
    <row r="75" spans="2:17" x14ac:dyDescent="0.4">
      <c r="G75">
        <v>21</v>
      </c>
      <c r="H75">
        <v>310</v>
      </c>
      <c r="I75" s="13">
        <f>H75/SUM($H$58:$H$77)</f>
        <v>2.2390754785120981E-2</v>
      </c>
      <c r="Q75" s="25"/>
    </row>
    <row r="76" spans="2:17" x14ac:dyDescent="0.4">
      <c r="G76">
        <v>22</v>
      </c>
      <c r="H76">
        <v>200</v>
      </c>
      <c r="I76" s="13">
        <f>H76/SUM($H$58:$H$77)</f>
        <v>1.444564824846515E-2</v>
      </c>
      <c r="Q76" s="25"/>
    </row>
    <row r="77" spans="2:17" x14ac:dyDescent="0.4">
      <c r="G77">
        <v>23</v>
      </c>
      <c r="H77">
        <v>180</v>
      </c>
      <c r="I77" s="13">
        <f>H77/SUM($H$58:$H$77)</f>
        <v>1.3001083423618635E-2</v>
      </c>
      <c r="Q77" s="23"/>
    </row>
    <row r="78" spans="2:17" x14ac:dyDescent="0.4">
      <c r="G78" s="95" t="s">
        <v>310</v>
      </c>
      <c r="H78" s="34" t="s">
        <v>12</v>
      </c>
      <c r="Q78" s="23"/>
    </row>
    <row r="79" spans="2:17" x14ac:dyDescent="0.4">
      <c r="Q79" s="23"/>
    </row>
    <row r="82" spans="2:17" x14ac:dyDescent="0.4">
      <c r="Q82" s="23"/>
    </row>
    <row r="90" spans="2:17" x14ac:dyDescent="0.4">
      <c r="B90" s="89" t="s">
        <v>257</v>
      </c>
      <c r="C90" s="89"/>
      <c r="D90" s="29"/>
    </row>
    <row r="91" spans="2:17" x14ac:dyDescent="0.4">
      <c r="C91" t="s">
        <v>261</v>
      </c>
      <c r="D91" t="s">
        <v>262</v>
      </c>
    </row>
    <row r="92" spans="2:17" x14ac:dyDescent="0.4">
      <c r="B92" t="s">
        <v>258</v>
      </c>
      <c r="C92">
        <f>8450</f>
        <v>8450</v>
      </c>
      <c r="D92">
        <f>310+140</f>
        <v>450</v>
      </c>
    </row>
    <row r="93" spans="2:17" x14ac:dyDescent="0.4">
      <c r="B93" t="s">
        <v>259</v>
      </c>
      <c r="C93">
        <f>3000</f>
        <v>3000</v>
      </c>
      <c r="D93">
        <f>590+80</f>
        <v>670</v>
      </c>
    </row>
    <row r="94" spans="2:17" x14ac:dyDescent="0.4">
      <c r="B94" t="s">
        <v>260</v>
      </c>
      <c r="C94">
        <f>1190</f>
        <v>1190</v>
      </c>
      <c r="D94">
        <f>240+30</f>
        <v>270</v>
      </c>
    </row>
    <row r="95" spans="2:17" x14ac:dyDescent="0.4">
      <c r="B95" t="s">
        <v>42</v>
      </c>
      <c r="C95">
        <f>SUM(C92:C94)</f>
        <v>12640</v>
      </c>
      <c r="D95">
        <f>SUM(D92:D94)</f>
        <v>1390</v>
      </c>
    </row>
    <row r="97" spans="2:17" x14ac:dyDescent="0.4">
      <c r="B97" s="89" t="s">
        <v>263</v>
      </c>
      <c r="C97" s="89"/>
      <c r="D97" s="29"/>
      <c r="Q97" s="21"/>
    </row>
    <row r="98" spans="2:17" x14ac:dyDescent="0.4">
      <c r="C98" t="s">
        <v>264</v>
      </c>
      <c r="D98" t="s">
        <v>265</v>
      </c>
    </row>
    <row r="99" spans="2:17" x14ac:dyDescent="0.4">
      <c r="B99" t="s">
        <v>258</v>
      </c>
      <c r="C99" s="6">
        <f>C92/$C$95</f>
        <v>0.66851265822784811</v>
      </c>
      <c r="D99" s="6">
        <f>D92/$D$95</f>
        <v>0.32374100719424459</v>
      </c>
    </row>
    <row r="100" spans="2:17" x14ac:dyDescent="0.4">
      <c r="B100" t="s">
        <v>259</v>
      </c>
      <c r="C100" s="6">
        <f>C93/$C$95</f>
        <v>0.23734177215189872</v>
      </c>
      <c r="D100" s="6">
        <f>D93/$D$95</f>
        <v>0.48201438848920863</v>
      </c>
      <c r="F100" s="7"/>
    </row>
    <row r="101" spans="2:17" x14ac:dyDescent="0.4">
      <c r="B101" t="s">
        <v>260</v>
      </c>
      <c r="C101" s="6">
        <f>C94/$C$95</f>
        <v>9.4145569620253167E-2</v>
      </c>
      <c r="D101" s="6">
        <f>D94/$D$95</f>
        <v>0.19424460431654678</v>
      </c>
      <c r="F101" s="7"/>
    </row>
    <row r="102" spans="2:17" x14ac:dyDescent="0.4">
      <c r="B102" t="s">
        <v>42</v>
      </c>
      <c r="C102">
        <f>C95/$C$95</f>
        <v>1</v>
      </c>
      <c r="D102">
        <f>D95/$D$95</f>
        <v>1</v>
      </c>
    </row>
    <row r="121" spans="3:12" x14ac:dyDescent="0.4">
      <c r="L121" s="23"/>
    </row>
    <row r="124" spans="3:12" x14ac:dyDescent="0.4">
      <c r="C124" s="6"/>
      <c r="D124" s="6"/>
    </row>
    <row r="125" spans="3:12" x14ac:dyDescent="0.4">
      <c r="G125" s="10"/>
      <c r="H125" s="10"/>
    </row>
    <row r="130" spans="2:16" x14ac:dyDescent="0.4">
      <c r="L130" s="23"/>
    </row>
    <row r="135" spans="2:16" x14ac:dyDescent="0.4">
      <c r="B135" s="18"/>
      <c r="C135" s="3"/>
      <c r="D135" s="3"/>
    </row>
    <row r="136" spans="2:16" x14ac:dyDescent="0.4">
      <c r="B136" s="18"/>
      <c r="C136" s="3"/>
      <c r="D136" s="3"/>
    </row>
    <row r="137" spans="2:16" x14ac:dyDescent="0.4">
      <c r="B137" s="18"/>
      <c r="C137" s="3"/>
      <c r="D137" s="3"/>
    </row>
    <row r="138" spans="2:16" x14ac:dyDescent="0.4">
      <c r="B138" s="19"/>
      <c r="C138" s="24"/>
      <c r="D138" s="24"/>
    </row>
    <row r="139" spans="2:16" x14ac:dyDescent="0.4">
      <c r="B139" s="13"/>
    </row>
    <row r="140" spans="2:16" x14ac:dyDescent="0.4">
      <c r="B140" s="13"/>
    </row>
    <row r="141" spans="2:16" x14ac:dyDescent="0.4">
      <c r="B141" s="13"/>
    </row>
    <row r="142" spans="2:16" x14ac:dyDescent="0.4">
      <c r="B142" s="14"/>
      <c r="I142" s="30"/>
      <c r="J142" s="30"/>
      <c r="K142" s="30"/>
      <c r="L142" s="30"/>
      <c r="M142" s="30"/>
      <c r="N142" s="30"/>
      <c r="O142" s="30"/>
      <c r="P142" s="30"/>
    </row>
    <row r="143" spans="2:16" x14ac:dyDescent="0.4">
      <c r="B143" s="13"/>
    </row>
    <row r="144" spans="2:16" x14ac:dyDescent="0.4">
      <c r="B144" s="13"/>
    </row>
    <row r="145" spans="2:12" x14ac:dyDescent="0.4">
      <c r="B145" s="13"/>
    </row>
    <row r="146" spans="2:12" x14ac:dyDescent="0.4">
      <c r="B146" s="13"/>
    </row>
    <row r="147" spans="2:12" x14ac:dyDescent="0.4">
      <c r="B147" s="13"/>
      <c r="F147" s="15"/>
    </row>
    <row r="148" spans="2:12" x14ac:dyDescent="0.4">
      <c r="B148" s="13"/>
      <c r="F148" s="15"/>
    </row>
    <row r="151" spans="2:12" x14ac:dyDescent="0.4">
      <c r="L151" s="6"/>
    </row>
  </sheetData>
  <mergeCells count="4">
    <mergeCell ref="G57:I57"/>
    <mergeCell ref="B57:E57"/>
    <mergeCell ref="B90:C90"/>
    <mergeCell ref="B97:C97"/>
  </mergeCells>
  <hyperlinks>
    <hyperlink ref="B59" r:id="rId1" tooltip="MP 73" display="https://omni.wikiwand.com/fr/articles/MP_73" xr:uid="{830F003F-356B-45F7-90DA-D6F19D3CCEA8}"/>
    <hyperlink ref="B60" r:id="rId2" tooltip="MP 89" display="https://omni.wikiwand.com/fr/articles/MP_89" xr:uid="{E4DA4115-C561-4BAE-BF94-1EB31AB71835}"/>
    <hyperlink ref="B61" r:id="rId3" tooltip="MP 05" display="https://omni.wikiwand.com/fr/articles/MP_05" xr:uid="{F032E212-9DA7-462F-B36F-F9C4F22B7AC2}"/>
    <hyperlink ref="B62" r:id="rId4" tooltip="MP 14" display="https://omni.wikiwand.com/fr/articles/MP_14" xr:uid="{5433E9B3-14EB-4B66-9581-0E95EB635637}"/>
    <hyperlink ref="B63" r:id="rId5" tooltip="MF 67" display="https://omni.wikiwand.com/fr/articles/MF_67" xr:uid="{B1D77009-8719-4D87-A77A-A237A079C73F}"/>
    <hyperlink ref="B64" r:id="rId6" tooltip="MF 77" display="https://omni.wikiwand.com/fr/articles/MF_77" xr:uid="{FDCE4542-4E67-415C-8D26-794184EAF7E3}"/>
    <hyperlink ref="B65" r:id="rId7" tooltip="MF 88" display="https://omni.wikiwand.com/fr/articles/MF_88" xr:uid="{01DF7639-ADBE-474B-99DD-CBEAFB3FFF48}"/>
    <hyperlink ref="B66" r:id="rId8" tooltip="MF 01" display="https://omni.wikiwand.com/fr/articles/MF_01" xr:uid="{08C85FF1-41F9-4B31-AD41-059A5A501405}"/>
    <hyperlink ref="B67" r:id="rId9" location="Parc_actuel" xr:uid="{7116F21D-1F6C-4000-8653-9BED23CAD526}"/>
    <hyperlink ref="D71" r:id="rId10" xr:uid="{564ED654-4AF1-4F79-B3E7-EB77D866B7D8}"/>
  </hyperlinks>
  <pageMargins left="0.7" right="0.7" top="0.75" bottom="0.75" header="0.3" footer="0.3"/>
  <pageSetup paperSize="9" orientation="portrait" horizontalDpi="1200" verticalDpi="1200" r:id="rId11"/>
  <drawing r:id="rId1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9F0CF-ED8F-48EA-8721-DE39A95A5603}">
  <sheetPr codeName="Sheet5"/>
  <dimension ref="B2:X112"/>
  <sheetViews>
    <sheetView zoomScaleNormal="100" workbookViewId="0">
      <selection activeCell="B3" sqref="B3"/>
    </sheetView>
  </sheetViews>
  <sheetFormatPr defaultRowHeight="14.6" x14ac:dyDescent="0.4"/>
  <cols>
    <col min="1" max="1" width="3.4609375" customWidth="1"/>
    <col min="3" max="3" width="28.3046875" customWidth="1"/>
    <col min="4" max="4" width="12.69140625" customWidth="1"/>
    <col min="8" max="8" width="10.3046875" customWidth="1"/>
    <col min="12" max="12" width="10" bestFit="1" customWidth="1"/>
    <col min="16" max="16" width="36.53515625" customWidth="1"/>
    <col min="22" max="22" width="6.4609375" customWidth="1"/>
  </cols>
  <sheetData>
    <row r="2" spans="2:14" ht="28.75" customHeight="1" x14ac:dyDescent="0.55000000000000004">
      <c r="B2" s="84" t="s">
        <v>346</v>
      </c>
    </row>
    <row r="3" spans="2:14" x14ac:dyDescent="0.4">
      <c r="B3" t="s">
        <v>347</v>
      </c>
    </row>
    <row r="4" spans="2:14" x14ac:dyDescent="0.4">
      <c r="B4" t="s">
        <v>348</v>
      </c>
    </row>
    <row r="5" spans="2:14" x14ac:dyDescent="0.4">
      <c r="B5" t="s">
        <v>349</v>
      </c>
    </row>
    <row r="6" spans="2:14" x14ac:dyDescent="0.4">
      <c r="B6" t="s">
        <v>350</v>
      </c>
    </row>
    <row r="7" spans="2:14" x14ac:dyDescent="0.4">
      <c r="B7" t="s">
        <v>351</v>
      </c>
    </row>
    <row r="8" spans="2:14" ht="15" thickBot="1" x14ac:dyDescent="0.45"/>
    <row r="9" spans="2:14" x14ac:dyDescent="0.4">
      <c r="B9" s="44" t="s">
        <v>175</v>
      </c>
      <c r="C9" s="49"/>
      <c r="D9" s="49"/>
      <c r="E9" s="49"/>
      <c r="F9" s="49"/>
      <c r="G9" s="49"/>
      <c r="H9" s="49"/>
      <c r="I9" s="49"/>
      <c r="J9" s="50"/>
    </row>
    <row r="10" spans="2:14" x14ac:dyDescent="0.4">
      <c r="B10" s="51" t="s">
        <v>167</v>
      </c>
      <c r="C10" s="52"/>
      <c r="D10" s="52"/>
      <c r="E10" s="52"/>
      <c r="F10" s="52"/>
      <c r="G10" s="52"/>
      <c r="H10" s="52"/>
      <c r="I10" s="52"/>
      <c r="J10" s="53"/>
    </row>
    <row r="11" spans="2:14" x14ac:dyDescent="0.4">
      <c r="B11" s="42"/>
      <c r="J11" s="37"/>
    </row>
    <row r="12" spans="2:14" x14ac:dyDescent="0.4">
      <c r="B12" s="54" t="s">
        <v>152</v>
      </c>
      <c r="C12" t="s">
        <v>156</v>
      </c>
      <c r="D12">
        <v>0.36599999999999999</v>
      </c>
      <c r="F12" t="s">
        <v>176</v>
      </c>
      <c r="G12" s="70">
        <v>7.9899999999999999E-2</v>
      </c>
      <c r="J12" s="37"/>
    </row>
    <row r="13" spans="2:14" x14ac:dyDescent="0.4">
      <c r="B13" s="54" t="s">
        <v>154</v>
      </c>
      <c r="C13" t="s">
        <v>157</v>
      </c>
      <c r="D13">
        <f>1-D12</f>
        <v>0.63400000000000001</v>
      </c>
      <c r="G13" s="21"/>
      <c r="J13" s="37"/>
    </row>
    <row r="14" spans="2:14" x14ac:dyDescent="0.4">
      <c r="B14" s="42"/>
      <c r="G14" s="21" t="s">
        <v>161</v>
      </c>
      <c r="J14" s="37"/>
    </row>
    <row r="15" spans="2:14" x14ac:dyDescent="0.4">
      <c r="B15" s="42"/>
      <c r="C15" t="s">
        <v>159</v>
      </c>
      <c r="D15" t="s">
        <v>152</v>
      </c>
      <c r="E15" t="s">
        <v>154</v>
      </c>
      <c r="G15" s="21" t="s">
        <v>78</v>
      </c>
      <c r="H15" t="s">
        <v>160</v>
      </c>
      <c r="I15" t="s">
        <v>162</v>
      </c>
      <c r="J15" s="37"/>
      <c r="L15" t="s">
        <v>178</v>
      </c>
      <c r="M15" s="16">
        <f>MAX(ABS(I17),ABS(I16))</f>
        <v>2.2190855577419732E-4</v>
      </c>
      <c r="N15" s="16"/>
    </row>
    <row r="16" spans="2:14" x14ac:dyDescent="0.4">
      <c r="B16" s="54" t="s">
        <v>41</v>
      </c>
      <c r="C16" s="55">
        <v>74</v>
      </c>
      <c r="D16" s="21">
        <f>EXP(-$G$12*C16)/(EXP(-$G$12*C17)+EXP(-$G$12*C16))</f>
        <v>0.32759119984702034</v>
      </c>
      <c r="E16">
        <f>1</f>
        <v>1</v>
      </c>
      <c r="G16" s="63">
        <f>D12*D16+D13*E16</f>
        <v>0.75389837914400948</v>
      </c>
      <c r="H16" s="7">
        <f>'mode choice'!D23</f>
        <v>0.75367647058823528</v>
      </c>
      <c r="I16" s="41">
        <f>G16-H16</f>
        <v>2.2190855577419732E-4</v>
      </c>
      <c r="J16" s="37"/>
      <c r="M16">
        <v>72</v>
      </c>
    </row>
    <row r="17" spans="2:14" x14ac:dyDescent="0.4">
      <c r="B17" s="54" t="s">
        <v>144</v>
      </c>
      <c r="C17" s="55">
        <v>65</v>
      </c>
      <c r="D17" s="21">
        <f>EXP(-$G$12*C17)/(EXP(-$G$12*C17)+EXP(-$G$12*C16))</f>
        <v>0.67240880015297966</v>
      </c>
      <c r="G17" s="63">
        <f>D12*D17</f>
        <v>0.24610162085599055</v>
      </c>
      <c r="H17" s="7">
        <f>'mode choice'!D22</f>
        <v>0.24632352941176472</v>
      </c>
      <c r="I17" s="41">
        <f>G17-H17</f>
        <v>-2.2190855577416957E-4</v>
      </c>
      <c r="J17" s="37"/>
      <c r="M17">
        <v>80.399999999999991</v>
      </c>
    </row>
    <row r="18" spans="2:14" x14ac:dyDescent="0.4">
      <c r="B18" s="54"/>
      <c r="C18" s="55"/>
      <c r="D18" s="21"/>
      <c r="G18" s="63"/>
      <c r="H18" s="7"/>
      <c r="I18" s="41"/>
      <c r="J18" s="37"/>
    </row>
    <row r="19" spans="2:14" x14ac:dyDescent="0.4">
      <c r="B19" s="54"/>
      <c r="C19" s="55" t="s">
        <v>282</v>
      </c>
      <c r="D19" s="21"/>
      <c r="G19" s="63"/>
      <c r="H19" s="7"/>
      <c r="I19" s="41"/>
      <c r="J19" s="37"/>
    </row>
    <row r="20" spans="2:14" ht="15" thickBot="1" x14ac:dyDescent="0.45">
      <c r="B20" s="43"/>
      <c r="C20" s="38"/>
      <c r="D20" s="38"/>
      <c r="E20" s="38"/>
      <c r="F20" s="38"/>
      <c r="G20" s="64"/>
      <c r="H20" s="38"/>
      <c r="I20" s="38"/>
      <c r="J20" s="39"/>
    </row>
    <row r="21" spans="2:14" x14ac:dyDescent="0.4">
      <c r="B21" s="51" t="s">
        <v>168</v>
      </c>
      <c r="C21" s="52"/>
      <c r="D21" s="52"/>
      <c r="E21" s="52"/>
      <c r="F21" s="52"/>
      <c r="G21" s="65"/>
      <c r="H21" s="52"/>
      <c r="I21" s="52"/>
      <c r="J21" s="53"/>
    </row>
    <row r="22" spans="2:14" x14ac:dyDescent="0.4">
      <c r="B22" s="42"/>
      <c r="G22" s="21"/>
      <c r="J22" s="37"/>
    </row>
    <row r="23" spans="2:14" x14ac:dyDescent="0.4">
      <c r="B23" s="54" t="s">
        <v>152</v>
      </c>
      <c r="C23" t="s">
        <v>155</v>
      </c>
      <c r="D23">
        <v>0.27100000000000002</v>
      </c>
      <c r="F23" t="s">
        <v>177</v>
      </c>
      <c r="G23" s="70">
        <v>8.900000000000001E-2</v>
      </c>
      <c r="J23" s="37"/>
    </row>
    <row r="24" spans="2:14" x14ac:dyDescent="0.4">
      <c r="B24" s="54" t="s">
        <v>154</v>
      </c>
      <c r="C24" t="s">
        <v>156</v>
      </c>
      <c r="D24" s="16">
        <v>0.245</v>
      </c>
      <c r="J24" s="37"/>
    </row>
    <row r="25" spans="2:14" x14ac:dyDescent="0.4">
      <c r="B25" s="54" t="s">
        <v>153</v>
      </c>
      <c r="C25" t="s">
        <v>157</v>
      </c>
      <c r="D25" s="16">
        <f>MAX(0,1-D24-D23)</f>
        <v>0.48399999999999999</v>
      </c>
      <c r="J25" s="37"/>
    </row>
    <row r="26" spans="2:14" x14ac:dyDescent="0.4">
      <c r="B26" s="42"/>
      <c r="G26" t="s">
        <v>161</v>
      </c>
      <c r="J26" s="37"/>
    </row>
    <row r="27" spans="2:14" x14ac:dyDescent="0.4">
      <c r="B27" s="42"/>
      <c r="C27" t="s">
        <v>181</v>
      </c>
      <c r="D27" t="s">
        <v>152</v>
      </c>
      <c r="E27" t="s">
        <v>154</v>
      </c>
      <c r="F27" t="s">
        <v>153</v>
      </c>
      <c r="G27" t="s">
        <v>78</v>
      </c>
      <c r="H27" t="s">
        <v>160</v>
      </c>
      <c r="I27" t="s">
        <v>162</v>
      </c>
      <c r="J27" s="37"/>
      <c r="L27" t="s">
        <v>178</v>
      </c>
      <c r="M27" s="16">
        <f>MAX(ABS(I28),ABS(I29),ABS(I30))</f>
        <v>5.0013198702184014E-4</v>
      </c>
      <c r="N27" s="26"/>
    </row>
    <row r="28" spans="2:14" x14ac:dyDescent="0.4">
      <c r="B28" s="54" t="s">
        <v>41</v>
      </c>
      <c r="C28" s="55">
        <v>58</v>
      </c>
      <c r="D28" s="21">
        <f>EXP(-$G$23*C28)/(EXP(-$G$23*C28)+EXP(-$G$23*C30))</f>
        <v>0.47776467523002647</v>
      </c>
      <c r="E28" s="21">
        <f>EXP(-$G$23*C28)/(EXP(-$G$23*C28)+EXP(-$G$23*C29))</f>
        <v>0.41192819684350185</v>
      </c>
      <c r="F28">
        <f>1</f>
        <v>1</v>
      </c>
      <c r="G28" s="56">
        <f>(D23*D28+D24*E28+D25*F28)/SUM(D23:D25)</f>
        <v>0.7143966352139951</v>
      </c>
      <c r="H28" s="7">
        <f>'mode choice'!C23</f>
        <v>0.71474358974358976</v>
      </c>
      <c r="I28" s="41">
        <f>G28-H28</f>
        <v>-3.4695452959465634E-4</v>
      </c>
      <c r="J28" s="37"/>
    </row>
    <row r="29" spans="2:14" x14ac:dyDescent="0.4">
      <c r="B29" s="54" t="s">
        <v>144</v>
      </c>
      <c r="C29" s="55">
        <v>54</v>
      </c>
      <c r="D29" s="10"/>
      <c r="E29" s="21">
        <f>EXP(-$G$23*C29)/(EXP(-$G$23*C28)+EXP(-$G$23*C29))</f>
        <v>0.5880718031564981</v>
      </c>
      <c r="G29" s="56">
        <f>D24*E29/SUM(D23:D25)</f>
        <v>0.14407759177334203</v>
      </c>
      <c r="H29" s="7">
        <f>'mode choice'!C22</f>
        <v>0.14423076923076922</v>
      </c>
      <c r="I29" s="41">
        <f>G29-H29</f>
        <v>-1.5317745742718381E-4</v>
      </c>
      <c r="J29" s="37"/>
    </row>
    <row r="30" spans="2:14" x14ac:dyDescent="0.4">
      <c r="B30" s="54" t="s">
        <v>146</v>
      </c>
      <c r="C30" s="55">
        <v>57</v>
      </c>
      <c r="D30" s="21">
        <f>EXP(-$G$23*C30)/(EXP(-$G$23*C28)+EXP(-$G$23*C30))</f>
        <v>0.52223532476997359</v>
      </c>
      <c r="E30" s="21"/>
      <c r="G30" s="56">
        <f>D23*D30/SUM(D23:D25)</f>
        <v>0.14152577301266286</v>
      </c>
      <c r="H30" s="7">
        <f>'mode choice'!C24</f>
        <v>0.14102564102564102</v>
      </c>
      <c r="I30" s="41">
        <f t="shared" ref="I30" si="0">G30-H30</f>
        <v>5.0013198702184014E-4</v>
      </c>
      <c r="J30" s="37"/>
    </row>
    <row r="31" spans="2:14" x14ac:dyDescent="0.4">
      <c r="B31" s="54"/>
      <c r="C31" s="55"/>
      <c r="D31" s="21"/>
      <c r="E31" s="21"/>
      <c r="G31" s="56"/>
      <c r="H31" s="7"/>
      <c r="I31" s="41"/>
      <c r="J31" s="37"/>
    </row>
    <row r="32" spans="2:14" x14ac:dyDescent="0.4">
      <c r="B32" s="54"/>
      <c r="C32" s="55" t="s">
        <v>293</v>
      </c>
      <c r="D32" s="21"/>
      <c r="E32" s="21"/>
      <c r="G32" s="56"/>
      <c r="H32" s="7"/>
      <c r="I32" s="41"/>
      <c r="J32" s="37"/>
    </row>
    <row r="33" spans="2:24" ht="15" thickBot="1" x14ac:dyDescent="0.45">
      <c r="B33" s="43"/>
      <c r="C33" s="38"/>
      <c r="D33" s="38"/>
      <c r="E33" s="38"/>
      <c r="F33" s="38"/>
      <c r="G33" s="38"/>
      <c r="H33" s="38"/>
      <c r="I33" s="38"/>
      <c r="J33" s="39"/>
    </row>
    <row r="34" spans="2:24" x14ac:dyDescent="0.4">
      <c r="B34" s="44" t="s">
        <v>158</v>
      </c>
      <c r="C34" s="49"/>
      <c r="D34" s="49"/>
      <c r="E34" s="49"/>
      <c r="F34" s="49"/>
      <c r="G34" s="49"/>
      <c r="H34" s="49"/>
      <c r="I34" s="49"/>
      <c r="J34" s="50"/>
    </row>
    <row r="35" spans="2:24" x14ac:dyDescent="0.4">
      <c r="B35" s="51" t="s">
        <v>169</v>
      </c>
      <c r="C35" s="52"/>
      <c r="D35" s="52"/>
      <c r="E35" s="52"/>
      <c r="F35" s="52"/>
      <c r="G35" s="52"/>
      <c r="H35" s="52"/>
      <c r="I35" s="52"/>
      <c r="J35" s="53"/>
      <c r="X35" s="6"/>
    </row>
    <row r="36" spans="2:24" x14ac:dyDescent="0.4">
      <c r="B36" s="42"/>
      <c r="J36" s="37"/>
    </row>
    <row r="37" spans="2:24" x14ac:dyDescent="0.4">
      <c r="B37" s="42"/>
      <c r="C37" t="s">
        <v>251</v>
      </c>
      <c r="D37">
        <v>8</v>
      </c>
      <c r="F37" t="s">
        <v>179</v>
      </c>
      <c r="G37" s="9">
        <f>D38*D37/D39*60</f>
        <v>32</v>
      </c>
      <c r="J37" s="37"/>
    </row>
    <row r="38" spans="2:24" x14ac:dyDescent="0.4">
      <c r="B38" s="42"/>
      <c r="C38" t="s">
        <v>192</v>
      </c>
      <c r="D38" s="72">
        <v>1.2</v>
      </c>
      <c r="J38" s="37"/>
    </row>
    <row r="39" spans="2:24" x14ac:dyDescent="0.4">
      <c r="B39" s="42"/>
      <c r="C39" t="s">
        <v>172</v>
      </c>
      <c r="D39">
        <f>callibration!D109</f>
        <v>18</v>
      </c>
      <c r="G39" t="s">
        <v>78</v>
      </c>
      <c r="H39" t="s">
        <v>180</v>
      </c>
      <c r="I39" t="s">
        <v>162</v>
      </c>
      <c r="J39" s="37"/>
    </row>
    <row r="40" spans="2:24" x14ac:dyDescent="0.4">
      <c r="B40" s="42"/>
      <c r="C40" t="s">
        <v>173</v>
      </c>
      <c r="D40" s="81">
        <v>11.38069817403651</v>
      </c>
      <c r="G40" s="21">
        <f>G37+D41</f>
        <v>64.999710219288474</v>
      </c>
      <c r="H40" s="21">
        <f>C17</f>
        <v>65</v>
      </c>
      <c r="I40" s="21">
        <f>G40-H40</f>
        <v>-2.8978071152607754E-4</v>
      </c>
      <c r="J40" s="37"/>
    </row>
    <row r="41" spans="2:24" x14ac:dyDescent="0.4">
      <c r="B41" s="42"/>
      <c r="C41" t="s">
        <v>174</v>
      </c>
      <c r="D41">
        <f>D40*(2+0.0001*EXP(0.8*D40))</f>
        <v>32.999710219288474</v>
      </c>
      <c r="F41" t="s">
        <v>273</v>
      </c>
      <c r="G41" s="9">
        <f>G37+Change_ldc</f>
        <v>43.38069817403651</v>
      </c>
      <c r="J41" s="37"/>
    </row>
    <row r="42" spans="2:24" ht="15" thickBot="1" x14ac:dyDescent="0.45">
      <c r="B42" s="43"/>
      <c r="C42" s="38"/>
      <c r="D42" s="38"/>
      <c r="E42" s="38"/>
      <c r="F42" s="38"/>
      <c r="G42" s="38"/>
      <c r="H42" s="38"/>
      <c r="I42" s="38"/>
      <c r="J42" s="39"/>
    </row>
    <row r="43" spans="2:24" x14ac:dyDescent="0.4">
      <c r="B43" s="51" t="s">
        <v>170</v>
      </c>
      <c r="C43" s="52"/>
      <c r="D43" s="52"/>
      <c r="E43" s="52"/>
      <c r="F43" s="52"/>
      <c r="G43" s="52"/>
      <c r="H43" s="52"/>
      <c r="I43" s="52"/>
      <c r="J43" s="53"/>
    </row>
    <row r="44" spans="2:24" x14ac:dyDescent="0.4">
      <c r="B44" s="42"/>
      <c r="J44" s="37"/>
    </row>
    <row r="45" spans="2:24" x14ac:dyDescent="0.4">
      <c r="B45" s="42"/>
      <c r="C45" t="s">
        <v>171</v>
      </c>
      <c r="D45">
        <f>D37</f>
        <v>8</v>
      </c>
      <c r="F45" t="s">
        <v>187</v>
      </c>
      <c r="G45" s="9">
        <f>(D45*D46)/D47*60</f>
        <v>11.52</v>
      </c>
      <c r="J45" s="37"/>
    </row>
    <row r="46" spans="2:24" x14ac:dyDescent="0.4">
      <c r="B46" s="42"/>
      <c r="C46" t="s">
        <v>280</v>
      </c>
      <c r="D46" s="72">
        <v>1.2</v>
      </c>
      <c r="J46" s="37"/>
    </row>
    <row r="47" spans="2:24" x14ac:dyDescent="0.4">
      <c r="B47" s="42"/>
      <c r="C47" t="s">
        <v>270</v>
      </c>
      <c r="D47">
        <v>50</v>
      </c>
      <c r="G47" t="s">
        <v>78</v>
      </c>
      <c r="H47" t="s">
        <v>180</v>
      </c>
      <c r="I47" t="s">
        <v>162</v>
      </c>
      <c r="J47" s="37"/>
    </row>
    <row r="48" spans="2:24" x14ac:dyDescent="0.4">
      <c r="B48" s="42"/>
      <c r="C48" t="s">
        <v>166</v>
      </c>
      <c r="D48" s="85">
        <v>3.9392429667931514</v>
      </c>
      <c r="G48" s="21">
        <f>(G45+D51+D53+D49)*D54</f>
        <v>74.000270678795786</v>
      </c>
      <c r="H48" s="21">
        <f>C16</f>
        <v>74</v>
      </c>
      <c r="I48" s="21">
        <f>G48-H48</f>
        <v>2.7067879578623888E-4</v>
      </c>
      <c r="J48" s="37"/>
    </row>
    <row r="49" spans="2:12" x14ac:dyDescent="0.4">
      <c r="B49" s="42"/>
      <c r="C49" t="s">
        <v>184</v>
      </c>
      <c r="D49">
        <f>D48*(0.498569+0.557746*EXP(0.317002*D48))</f>
        <v>9.6230106136847198</v>
      </c>
      <c r="J49" s="37"/>
    </row>
    <row r="50" spans="2:12" x14ac:dyDescent="0.4">
      <c r="B50" s="42"/>
      <c r="C50" t="s">
        <v>276</v>
      </c>
      <c r="D50" s="69">
        <v>4</v>
      </c>
      <c r="F50" t="s">
        <v>273</v>
      </c>
      <c r="G50" s="9">
        <f>G45+D50+old+D48+Change_ldp</f>
        <v>28.292483185214515</v>
      </c>
      <c r="J50" s="37"/>
    </row>
    <row r="51" spans="2:12" x14ac:dyDescent="0.4">
      <c r="B51" s="42"/>
      <c r="C51" t="s">
        <v>275</v>
      </c>
      <c r="D51">
        <f>D50*(0.787579+0.511118*EXP(0.34175*D50))</f>
        <v>11.171929333684503</v>
      </c>
      <c r="J51" s="37"/>
      <c r="L51">
        <f>SUM(D49,D51)</f>
        <v>20.794939947369222</v>
      </c>
    </row>
    <row r="52" spans="2:12" x14ac:dyDescent="0.4">
      <c r="B52" s="42"/>
      <c r="C52" t="s">
        <v>186</v>
      </c>
      <c r="D52" s="73">
        <f>D71</f>
        <v>4.8939972516282122</v>
      </c>
      <c r="J52" s="37"/>
    </row>
    <row r="53" spans="2:12" x14ac:dyDescent="0.4">
      <c r="B53" s="42"/>
      <c r="C53" t="s">
        <v>185</v>
      </c>
      <c r="D53">
        <f>D52*(0.569179+0.274495*EXP(0.342636*D52))</f>
        <v>9.970929011942653</v>
      </c>
      <c r="J53" s="37"/>
    </row>
    <row r="54" spans="2:12" x14ac:dyDescent="0.4">
      <c r="B54" s="42"/>
      <c r="C54" t="s">
        <v>188</v>
      </c>
      <c r="D54">
        <f>D91</f>
        <v>1.75</v>
      </c>
      <c r="J54" s="37"/>
    </row>
    <row r="55" spans="2:12" x14ac:dyDescent="0.4">
      <c r="B55" s="42"/>
      <c r="J55" s="37"/>
    </row>
    <row r="56" spans="2:12" x14ac:dyDescent="0.4">
      <c r="B56" s="51" t="s">
        <v>190</v>
      </c>
      <c r="C56" s="52"/>
      <c r="D56" s="52"/>
      <c r="E56" s="52"/>
      <c r="F56" s="52"/>
      <c r="G56" s="52"/>
      <c r="H56" s="52"/>
      <c r="I56" s="52"/>
      <c r="J56" s="53"/>
    </row>
    <row r="57" spans="2:12" x14ac:dyDescent="0.4">
      <c r="B57" s="42"/>
      <c r="J57" s="37"/>
    </row>
    <row r="58" spans="2:12" x14ac:dyDescent="0.4">
      <c r="B58" s="42"/>
      <c r="C58" t="s">
        <v>194</v>
      </c>
      <c r="D58">
        <v>5</v>
      </c>
      <c r="F58" t="s">
        <v>179</v>
      </c>
      <c r="G58" s="9">
        <f>(D59*D58)/D60*60</f>
        <v>21.000289780711537</v>
      </c>
      <c r="J58" s="37"/>
    </row>
    <row r="59" spans="2:12" x14ac:dyDescent="0.4">
      <c r="B59" s="42"/>
      <c r="C59" t="s">
        <v>195</v>
      </c>
      <c r="D59" s="74">
        <v>1.260017386842692</v>
      </c>
      <c r="J59" s="37"/>
    </row>
    <row r="60" spans="2:12" x14ac:dyDescent="0.4">
      <c r="B60" s="42"/>
      <c r="C60" t="s">
        <v>172</v>
      </c>
      <c r="D60">
        <f>callibration!D109</f>
        <v>18</v>
      </c>
      <c r="G60" t="s">
        <v>78</v>
      </c>
      <c r="H60" t="s">
        <v>180</v>
      </c>
      <c r="I60" t="s">
        <v>162</v>
      </c>
      <c r="J60" s="37"/>
    </row>
    <row r="61" spans="2:12" x14ac:dyDescent="0.4">
      <c r="B61" s="42"/>
      <c r="C61" t="s">
        <v>173</v>
      </c>
      <c r="D61" s="88">
        <f>D40</f>
        <v>11.38069817403651</v>
      </c>
      <c r="G61" s="21">
        <f>G58+D62</f>
        <v>54.000000000000014</v>
      </c>
      <c r="H61" s="21">
        <f>C29</f>
        <v>54</v>
      </c>
      <c r="I61" s="21">
        <f>G61-H61</f>
        <v>0</v>
      </c>
      <c r="J61" s="37"/>
    </row>
    <row r="62" spans="2:12" x14ac:dyDescent="0.4">
      <c r="B62" s="42"/>
      <c r="C62" t="s">
        <v>174</v>
      </c>
      <c r="D62">
        <f>D41</f>
        <v>32.999710219288474</v>
      </c>
      <c r="F62" t="s">
        <v>273</v>
      </c>
      <c r="G62" s="9">
        <f>G58+D61</f>
        <v>32.380987954748051</v>
      </c>
      <c r="J62" s="37"/>
    </row>
    <row r="63" spans="2:12" x14ac:dyDescent="0.4">
      <c r="B63" s="42"/>
      <c r="J63" s="37"/>
    </row>
    <row r="64" spans="2:12" x14ac:dyDescent="0.4">
      <c r="B64" s="51" t="s">
        <v>191</v>
      </c>
      <c r="C64" s="52"/>
      <c r="D64" s="52"/>
      <c r="E64" s="52"/>
      <c r="F64" s="52"/>
      <c r="G64" s="52"/>
      <c r="H64" s="52"/>
      <c r="I64" s="52"/>
      <c r="J64" s="53"/>
    </row>
    <row r="65" spans="2:10" x14ac:dyDescent="0.4">
      <c r="B65" s="42"/>
      <c r="J65" s="37"/>
    </row>
    <row r="66" spans="2:10" x14ac:dyDescent="0.4">
      <c r="B66" s="42"/>
      <c r="C66" t="s">
        <v>193</v>
      </c>
      <c r="D66">
        <f>D58</f>
        <v>5</v>
      </c>
      <c r="F66" t="s">
        <v>187</v>
      </c>
      <c r="G66" s="9">
        <f>(D66*D67)/D68*60</f>
        <v>12</v>
      </c>
      <c r="J66" s="37"/>
    </row>
    <row r="67" spans="2:10" x14ac:dyDescent="0.4">
      <c r="B67" s="42"/>
      <c r="C67" t="s">
        <v>280</v>
      </c>
      <c r="D67" s="72">
        <f>D46</f>
        <v>1.2</v>
      </c>
      <c r="J67" s="37"/>
    </row>
    <row r="68" spans="2:10" x14ac:dyDescent="0.4">
      <c r="B68" s="42"/>
      <c r="C68" t="s">
        <v>278</v>
      </c>
      <c r="D68">
        <v>30</v>
      </c>
      <c r="G68" t="s">
        <v>78</v>
      </c>
      <c r="H68" t="s">
        <v>180</v>
      </c>
      <c r="I68" t="s">
        <v>162</v>
      </c>
      <c r="J68" s="37"/>
    </row>
    <row r="69" spans="2:10" x14ac:dyDescent="0.4">
      <c r="B69" s="42"/>
      <c r="C69" t="s">
        <v>276</v>
      </c>
      <c r="D69" s="69">
        <v>4</v>
      </c>
      <c r="G69" s="21">
        <f>(G66+D70+D72)*D73</f>
        <v>58.000002104847518</v>
      </c>
      <c r="H69" s="21">
        <f>C28</f>
        <v>58</v>
      </c>
      <c r="I69" s="21">
        <f>G69-H69</f>
        <v>2.1048475176144166E-6</v>
      </c>
      <c r="J69" s="37"/>
    </row>
    <row r="70" spans="2:10" x14ac:dyDescent="0.4">
      <c r="B70" s="42"/>
      <c r="C70" t="s">
        <v>275</v>
      </c>
      <c r="D70">
        <f>D69*(0.787579+0.511118*EXP(0.34175*D69))</f>
        <v>11.171929333684503</v>
      </c>
      <c r="G70" s="21"/>
      <c r="H70" s="21"/>
      <c r="I70" s="21"/>
      <c r="J70" s="37"/>
    </row>
    <row r="71" spans="2:10" x14ac:dyDescent="0.4">
      <c r="B71" s="42"/>
      <c r="C71" t="s">
        <v>186</v>
      </c>
      <c r="D71" s="74">
        <v>4.8939972516282122</v>
      </c>
      <c r="G71" s="21"/>
      <c r="H71" s="21"/>
      <c r="I71" s="21"/>
      <c r="J71" s="37"/>
    </row>
    <row r="72" spans="2:10" x14ac:dyDescent="0.4">
      <c r="B72" s="42"/>
      <c r="C72" t="s">
        <v>185</v>
      </c>
      <c r="D72">
        <f>D71*(0.569179+0.274495*EXP(0.342636*D71))</f>
        <v>9.970929011942653</v>
      </c>
      <c r="J72" s="37"/>
    </row>
    <row r="73" spans="2:10" x14ac:dyDescent="0.4">
      <c r="B73" s="42"/>
      <c r="C73" t="s">
        <v>188</v>
      </c>
      <c r="D73">
        <f>D54</f>
        <v>1.75</v>
      </c>
      <c r="F73" t="s">
        <v>273</v>
      </c>
      <c r="G73" s="9">
        <f>G66+D69+D71</f>
        <v>20.893997251628214</v>
      </c>
      <c r="J73" s="37"/>
    </row>
    <row r="74" spans="2:10" x14ac:dyDescent="0.4">
      <c r="B74" s="42"/>
      <c r="J74" s="37"/>
    </row>
    <row r="75" spans="2:10" x14ac:dyDescent="0.4">
      <c r="B75" s="51" t="s">
        <v>274</v>
      </c>
      <c r="C75" s="52"/>
      <c r="D75" s="52"/>
      <c r="E75" s="52"/>
      <c r="F75" s="52"/>
      <c r="G75" s="52"/>
      <c r="H75" s="52"/>
      <c r="I75" s="52"/>
      <c r="J75" s="53"/>
    </row>
    <row r="76" spans="2:10" x14ac:dyDescent="0.4">
      <c r="B76" s="42"/>
      <c r="J76" s="37"/>
    </row>
    <row r="77" spans="2:10" x14ac:dyDescent="0.4">
      <c r="B77" s="42"/>
      <c r="C77" t="s">
        <v>193</v>
      </c>
      <c r="D77">
        <f>D58</f>
        <v>5</v>
      </c>
      <c r="F77" t="s">
        <v>277</v>
      </c>
      <c r="G77" s="9">
        <f>D77*D78/D82*60+D83</f>
        <v>29.064250411861615</v>
      </c>
      <c r="J77" s="37"/>
    </row>
    <row r="78" spans="2:10" x14ac:dyDescent="0.4">
      <c r="B78" s="42"/>
      <c r="C78" t="s">
        <v>196</v>
      </c>
      <c r="D78">
        <v>1.4</v>
      </c>
      <c r="J78" s="37"/>
    </row>
    <row r="79" spans="2:10" x14ac:dyDescent="0.4">
      <c r="B79" s="42"/>
      <c r="C79" t="s">
        <v>197</v>
      </c>
      <c r="D79">
        <f>'mode choice'!C53</f>
        <v>25</v>
      </c>
      <c r="G79" t="s">
        <v>78</v>
      </c>
      <c r="H79" t="s">
        <v>180</v>
      </c>
      <c r="I79" t="s">
        <v>162</v>
      </c>
      <c r="J79" s="37"/>
    </row>
    <row r="80" spans="2:10" x14ac:dyDescent="0.4">
      <c r="B80" s="42"/>
      <c r="C80" t="s">
        <v>198</v>
      </c>
      <c r="D80">
        <f>'mode choice'!C54</f>
        <v>18</v>
      </c>
      <c r="G80" s="21">
        <f>D84*G77</f>
        <v>56.999999999999993</v>
      </c>
      <c r="H80" s="21">
        <f>C30</f>
        <v>57</v>
      </c>
      <c r="I80" s="21">
        <f>G80-H80</f>
        <v>0</v>
      </c>
      <c r="J80" s="37"/>
    </row>
    <row r="81" spans="2:10" x14ac:dyDescent="0.4">
      <c r="B81" s="42"/>
      <c r="C81" t="s">
        <v>199</v>
      </c>
      <c r="D81" s="21">
        <f>'vehicle adoption'!C20</f>
        <v>0.03</v>
      </c>
      <c r="J81" s="37"/>
    </row>
    <row r="82" spans="2:10" x14ac:dyDescent="0.4">
      <c r="B82" s="42"/>
      <c r="C82" t="s">
        <v>200</v>
      </c>
      <c r="D82">
        <f>D81*D79+(1-D81)*D80</f>
        <v>18.21</v>
      </c>
      <c r="J82" s="37"/>
    </row>
    <row r="83" spans="2:10" x14ac:dyDescent="0.4">
      <c r="B83" s="42"/>
      <c r="C83" t="s">
        <v>279</v>
      </c>
      <c r="D83">
        <v>6</v>
      </c>
      <c r="J83" s="37"/>
    </row>
    <row r="84" spans="2:10" x14ac:dyDescent="0.4">
      <c r="B84" s="42"/>
      <c r="C84" t="s">
        <v>281</v>
      </c>
      <c r="D84" s="75">
        <v>1.9611722026981067</v>
      </c>
      <c r="J84" s="37"/>
    </row>
    <row r="85" spans="2:10" ht="15" thickBot="1" x14ac:dyDescent="0.45">
      <c r="B85" s="42"/>
      <c r="J85" s="37"/>
    </row>
    <row r="86" spans="2:10" x14ac:dyDescent="0.4">
      <c r="B86" s="44" t="s">
        <v>182</v>
      </c>
      <c r="C86" s="49"/>
      <c r="D86" s="49"/>
      <c r="E86" s="49"/>
      <c r="F86" s="49"/>
      <c r="G86" s="49"/>
      <c r="H86" s="49"/>
      <c r="I86" s="49"/>
      <c r="J86" s="50"/>
    </row>
    <row r="87" spans="2:10" x14ac:dyDescent="0.4">
      <c r="B87" s="42"/>
      <c r="J87" s="37"/>
    </row>
    <row r="88" spans="2:10" x14ac:dyDescent="0.4">
      <c r="B88" s="42"/>
      <c r="C88" s="57" t="s">
        <v>103</v>
      </c>
      <c r="D88" s="57"/>
      <c r="E88" s="58"/>
      <c r="F88" s="58"/>
      <c r="G88" s="58"/>
      <c r="H88" s="59"/>
      <c r="I88" s="59"/>
      <c r="J88" s="37"/>
    </row>
    <row r="89" spans="2:10" x14ac:dyDescent="0.4">
      <c r="B89" s="42"/>
      <c r="C89" s="57" t="str">
        <f>"with cref = "&amp;D92&amp;", cmax = 2 and kref = "&amp;D93&amp;" and kmin = 0.22 * kref = k(cmin) with cmin = 1"</f>
        <v>with cref = 1.3228756555323, cmax = 2 and kref = 418654 and kmin = 0.22 * kref = k(cmin) with cmin = 1</v>
      </c>
      <c r="D89" s="57"/>
      <c r="E89" s="58"/>
      <c r="F89" s="58"/>
      <c r="G89" s="58"/>
      <c r="H89" s="59"/>
      <c r="I89" s="59"/>
      <c r="J89" s="37"/>
    </row>
    <row r="90" spans="2:10" x14ac:dyDescent="0.4">
      <c r="B90" s="42"/>
      <c r="C90" s="60"/>
      <c r="D90" s="3"/>
      <c r="E90" s="60"/>
      <c r="F90" s="3"/>
      <c r="G90" s="3"/>
      <c r="J90" s="37"/>
    </row>
    <row r="91" spans="2:10" x14ac:dyDescent="0.4">
      <c r="B91" s="42"/>
      <c r="C91" t="s">
        <v>163</v>
      </c>
      <c r="D91" s="68">
        <v>1.75</v>
      </c>
      <c r="G91" s="61"/>
      <c r="J91" s="37"/>
    </row>
    <row r="92" spans="2:10" x14ac:dyDescent="0.4">
      <c r="B92" s="42"/>
      <c r="C92" t="s">
        <v>164</v>
      </c>
      <c r="D92" s="16">
        <f>SQRT(D91)</f>
        <v>1.3228756555322954</v>
      </c>
      <c r="E92" s="3" t="s">
        <v>99</v>
      </c>
      <c r="G92" s="62"/>
      <c r="J92" s="37"/>
    </row>
    <row r="93" spans="2:10" x14ac:dyDescent="0.4">
      <c r="B93" s="42"/>
      <c r="C93" t="s">
        <v>165</v>
      </c>
      <c r="D93">
        <v>418654</v>
      </c>
      <c r="J93" s="37"/>
    </row>
    <row r="94" spans="2:10" x14ac:dyDescent="0.4">
      <c r="B94" s="42"/>
      <c r="C94" t="s">
        <v>90</v>
      </c>
      <c r="D94" s="10">
        <f>'mode choice'!C42*D96</f>
        <v>197454.9000971858</v>
      </c>
      <c r="G94" s="62"/>
      <c r="J94" s="37"/>
    </row>
    <row r="95" spans="2:10" x14ac:dyDescent="0.4">
      <c r="B95" s="42"/>
      <c r="C95" t="s">
        <v>105</v>
      </c>
      <c r="D95" s="10">
        <f>D96-D94</f>
        <v>685108.66851902357</v>
      </c>
      <c r="F95" t="s">
        <v>162</v>
      </c>
      <c r="G95" s="16"/>
      <c r="J95" s="37"/>
    </row>
    <row r="96" spans="2:10" x14ac:dyDescent="0.4">
      <c r="B96" s="42"/>
      <c r="C96" t="s">
        <v>104</v>
      </c>
      <c r="D96" s="71">
        <v>882563.56861620932</v>
      </c>
      <c r="F96" s="21">
        <f>D92-D97</f>
        <v>8.4812182221671861E-6</v>
      </c>
      <c r="G96" s="10"/>
      <c r="J96" s="37"/>
    </row>
    <row r="97" spans="2:14" x14ac:dyDescent="0.4">
      <c r="B97" s="42"/>
      <c r="C97" t="s">
        <v>189</v>
      </c>
      <c r="D97">
        <f>IF(D93&lt;D94,1,MIN(2,1+(D93-D94)/D95))</f>
        <v>1.3228671743140732</v>
      </c>
      <c r="G97" s="10"/>
      <c r="J97" s="37"/>
    </row>
    <row r="98" spans="2:14" ht="15" thickBot="1" x14ac:dyDescent="0.45">
      <c r="B98" s="42"/>
      <c r="G98" s="10"/>
      <c r="J98" s="37"/>
    </row>
    <row r="99" spans="2:14" x14ac:dyDescent="0.4">
      <c r="B99" s="44" t="s">
        <v>183</v>
      </c>
      <c r="C99" s="49"/>
      <c r="D99" s="49"/>
      <c r="E99" s="49"/>
      <c r="F99" s="49"/>
      <c r="G99" s="49"/>
      <c r="H99" s="49"/>
      <c r="I99" s="49"/>
      <c r="J99" s="50"/>
    </row>
    <row r="100" spans="2:14" x14ac:dyDescent="0.4">
      <c r="B100" s="42"/>
      <c r="J100" s="37"/>
    </row>
    <row r="101" spans="2:14" x14ac:dyDescent="0.4">
      <c r="B101" s="42"/>
      <c r="C101" s="94" t="s">
        <v>62</v>
      </c>
      <c r="D101" s="94"/>
      <c r="E101" s="58"/>
      <c r="F101" s="58"/>
      <c r="G101" s="58"/>
      <c r="H101" s="59"/>
      <c r="I101" s="59"/>
      <c r="J101" s="37"/>
    </row>
    <row r="102" spans="2:14" x14ac:dyDescent="0.4">
      <c r="B102" s="42"/>
      <c r="C102" s="93" t="s">
        <v>58</v>
      </c>
      <c r="D102" s="93"/>
      <c r="E102" s="58"/>
      <c r="F102" s="58"/>
      <c r="G102" s="58"/>
      <c r="H102" s="59"/>
      <c r="I102" s="59"/>
      <c r="J102" s="37"/>
    </row>
    <row r="103" spans="2:14" x14ac:dyDescent="0.4">
      <c r="B103" s="42"/>
      <c r="C103" s="93" t="s">
        <v>59</v>
      </c>
      <c r="D103" s="93"/>
      <c r="E103" s="57"/>
      <c r="F103" s="58"/>
      <c r="G103" s="58"/>
      <c r="H103" s="59"/>
      <c r="I103" s="59"/>
      <c r="J103" s="37"/>
    </row>
    <row r="104" spans="2:14" x14ac:dyDescent="0.4">
      <c r="B104" s="42"/>
      <c r="C104" s="93" t="str">
        <f>"-v(t)/vf+1 = k(t)/kc"</f>
        <v>-v(t)/vf+1 = k(t)/kc</v>
      </c>
      <c r="D104" s="93"/>
      <c r="E104" s="59"/>
      <c r="F104" s="59"/>
      <c r="G104" s="66"/>
      <c r="H104" s="59"/>
      <c r="I104" s="59"/>
      <c r="J104" s="37"/>
    </row>
    <row r="105" spans="2:14" x14ac:dyDescent="0.4">
      <c r="B105" s="42"/>
      <c r="C105" s="93" t="s">
        <v>61</v>
      </c>
      <c r="D105" s="93"/>
      <c r="E105" s="59"/>
      <c r="F105" s="59"/>
      <c r="G105" s="67"/>
      <c r="H105" s="59"/>
      <c r="I105" s="59"/>
      <c r="J105" s="37"/>
    </row>
    <row r="106" spans="2:14" x14ac:dyDescent="0.4">
      <c r="B106" s="42"/>
      <c r="C106" s="93" t="s">
        <v>60</v>
      </c>
      <c r="D106" s="93"/>
      <c r="E106" s="59"/>
      <c r="F106" s="59"/>
      <c r="G106" s="67"/>
      <c r="H106" s="59"/>
      <c r="I106" s="59"/>
      <c r="J106" s="37"/>
      <c r="M106" s="9"/>
      <c r="N106" s="3"/>
    </row>
    <row r="107" spans="2:14" x14ac:dyDescent="0.4">
      <c r="B107" s="42"/>
      <c r="J107" s="37"/>
    </row>
    <row r="108" spans="2:14" x14ac:dyDescent="0.4">
      <c r="B108" s="42"/>
      <c r="C108" t="s">
        <v>26</v>
      </c>
      <c r="D108">
        <f>'mode choice'!C35</f>
        <v>30</v>
      </c>
      <c r="F108" t="s">
        <v>18</v>
      </c>
      <c r="G108" s="10"/>
      <c r="J108" s="37"/>
      <c r="M108" s="10"/>
    </row>
    <row r="109" spans="2:14" x14ac:dyDescent="0.4">
      <c r="B109" s="42"/>
      <c r="C109" t="s">
        <v>27</v>
      </c>
      <c r="D109">
        <f>'mode choice'!C34</f>
        <v>18</v>
      </c>
      <c r="F109" t="s">
        <v>18</v>
      </c>
      <c r="G109" s="10"/>
      <c r="J109" s="37"/>
      <c r="M109" s="10"/>
    </row>
    <row r="110" spans="2:14" x14ac:dyDescent="0.4">
      <c r="B110" s="42"/>
      <c r="C110" t="s">
        <v>24</v>
      </c>
      <c r="D110" s="68">
        <v>2.2557000000000001E-2</v>
      </c>
      <c r="F110" t="s">
        <v>25</v>
      </c>
      <c r="G110" s="10"/>
      <c r="J110" s="37"/>
      <c r="M110" s="10"/>
    </row>
    <row r="111" spans="2:14" x14ac:dyDescent="0.4">
      <c r="B111" s="42"/>
      <c r="C111" t="s">
        <v>23</v>
      </c>
      <c r="D111">
        <f>D110/(1-D109/D108)</f>
        <v>5.6392499999999998E-2</v>
      </c>
      <c r="G111" s="10"/>
      <c r="J111" s="37"/>
    </row>
    <row r="112" spans="2:14" ht="15" thickBot="1" x14ac:dyDescent="0.45">
      <c r="B112" s="43"/>
      <c r="C112" s="38"/>
      <c r="D112" s="38"/>
      <c r="E112" s="38"/>
      <c r="F112" s="38"/>
      <c r="G112" s="38"/>
      <c r="H112" s="38"/>
      <c r="I112" s="38"/>
      <c r="J112" s="39"/>
    </row>
  </sheetData>
  <mergeCells count="6">
    <mergeCell ref="C106:D106"/>
    <mergeCell ref="C101:D101"/>
    <mergeCell ref="C102:D102"/>
    <mergeCell ref="C103:D103"/>
    <mergeCell ref="C104:D104"/>
    <mergeCell ref="C105:D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olve_Beta_8">
                <anchor moveWithCells="1" sizeWithCells="1">
                  <from>
                    <xdr:col>8</xdr:col>
                    <xdr:colOff>0</xdr:colOff>
                    <xdr:row>10</xdr:row>
                    <xdr:rowOff>174171</xdr:rowOff>
                  </from>
                  <to>
                    <xdr:col>8</xdr:col>
                    <xdr:colOff>604157</xdr:colOff>
                    <xdr:row>12</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olve_Beta_5">
                <anchor moveWithCells="1" sizeWithCells="1">
                  <from>
                    <xdr:col>8</xdr:col>
                    <xdr:colOff>0</xdr:colOff>
                    <xdr:row>21</xdr:row>
                    <xdr:rowOff>157843</xdr:rowOff>
                  </from>
                  <to>
                    <xdr:col>8</xdr:col>
                    <xdr:colOff>604157</xdr:colOff>
                    <xdr:row>22</xdr:row>
                    <xdr:rowOff>174171</xdr:rowOff>
                  </to>
                </anchor>
              </controlPr>
            </control>
          </mc:Choice>
        </mc:AlternateContent>
        <mc:AlternateContent xmlns:mc="http://schemas.openxmlformats.org/markup-compatibility/2006">
          <mc:Choice Requires="x14">
            <control shapeId="5126" r:id="rId6" name="Button 6">
              <controlPr defaultSize="0" print="0" autoFill="0" autoPict="0" macro="[0]!Solve_overcrowding">
                <anchor moveWithCells="1" sizeWithCells="1">
                  <from>
                    <xdr:col>7</xdr:col>
                    <xdr:colOff>32657</xdr:colOff>
                    <xdr:row>94</xdr:row>
                    <xdr:rowOff>168729</xdr:rowOff>
                  </from>
                  <to>
                    <xdr:col>7</xdr:col>
                    <xdr:colOff>631371</xdr:colOff>
                    <xdr:row>96</xdr:row>
                    <xdr:rowOff>0</xdr:rowOff>
                  </to>
                </anchor>
              </controlPr>
            </control>
          </mc:Choice>
        </mc:AlternateContent>
        <mc:AlternateContent xmlns:mc="http://schemas.openxmlformats.org/markup-compatibility/2006">
          <mc:Choice Requires="x14">
            <control shapeId="5123" r:id="rId7" name="Button 3">
              <controlPr defaultSize="0" print="0" autoFill="0" autoPict="0" macro="[0]!Solve_searchtime_long">
                <anchor moveWithCells="1" sizeWithCells="1">
                  <from>
                    <xdr:col>8</xdr:col>
                    <xdr:colOff>5443</xdr:colOff>
                    <xdr:row>35</xdr:row>
                    <xdr:rowOff>168729</xdr:rowOff>
                  </from>
                  <to>
                    <xdr:col>9</xdr:col>
                    <xdr:colOff>0</xdr:colOff>
                    <xdr:row>37</xdr:row>
                    <xdr:rowOff>0</xdr:rowOff>
                  </to>
                </anchor>
              </controlPr>
            </control>
          </mc:Choice>
        </mc:AlternateContent>
        <mc:AlternateContent xmlns:mc="http://schemas.openxmlformats.org/markup-compatibility/2006">
          <mc:Choice Requires="x14">
            <control shapeId="5128" r:id="rId8" name="Button 8">
              <controlPr defaultSize="0" print="0" autoFill="0" autoPict="0" macro="[0]!solve_car_network_dist_mid">
                <anchor moveWithCells="1" sizeWithCells="1">
                  <from>
                    <xdr:col>8</xdr:col>
                    <xdr:colOff>5443</xdr:colOff>
                    <xdr:row>56</xdr:row>
                    <xdr:rowOff>168729</xdr:rowOff>
                  </from>
                  <to>
                    <xdr:col>9</xdr:col>
                    <xdr:colOff>0</xdr:colOff>
                    <xdr:row>58</xdr:row>
                    <xdr:rowOff>0</xdr:rowOff>
                  </to>
                </anchor>
              </controlPr>
            </control>
          </mc:Choice>
        </mc:AlternateContent>
        <mc:AlternateContent xmlns:mc="http://schemas.openxmlformats.org/markup-compatibility/2006">
          <mc:Choice Requires="x14">
            <control shapeId="5127" r:id="rId9" name="Button 7">
              <controlPr defaultSize="0" print="0" autoFill="0" autoPict="0" macro="[0]!solve_long_PT_access">
                <anchor moveWithCells="1" sizeWithCells="1">
                  <from>
                    <xdr:col>7</xdr:col>
                    <xdr:colOff>702129</xdr:colOff>
                    <xdr:row>43</xdr:row>
                    <xdr:rowOff>157843</xdr:rowOff>
                  </from>
                  <to>
                    <xdr:col>8</xdr:col>
                    <xdr:colOff>593271</xdr:colOff>
                    <xdr:row>44</xdr:row>
                    <xdr:rowOff>174171</xdr:rowOff>
                  </to>
                </anchor>
              </controlPr>
            </control>
          </mc:Choice>
        </mc:AlternateContent>
        <mc:AlternateContent xmlns:mc="http://schemas.openxmlformats.org/markup-compatibility/2006">
          <mc:Choice Requires="x14">
            <control shapeId="5129" r:id="rId10" name="Button 9">
              <controlPr defaultSize="0" print="0" autoFill="0" autoPict="0" macro="[0]!solve_PT_mid_speed">
                <anchor moveWithCells="1" sizeWithCells="1">
                  <from>
                    <xdr:col>7</xdr:col>
                    <xdr:colOff>702129</xdr:colOff>
                    <xdr:row>64</xdr:row>
                    <xdr:rowOff>157843</xdr:rowOff>
                  </from>
                  <to>
                    <xdr:col>8</xdr:col>
                    <xdr:colOff>593271</xdr:colOff>
                    <xdr:row>65</xdr:row>
                    <xdr:rowOff>174171</xdr:rowOff>
                  </to>
                </anchor>
              </controlPr>
            </control>
          </mc:Choice>
        </mc:AlternateContent>
        <mc:AlternateContent xmlns:mc="http://schemas.openxmlformats.org/markup-compatibility/2006">
          <mc:Choice Requires="x14">
            <control shapeId="5130" r:id="rId11" name="Button 10">
              <controlPr defaultSize="0" print="0" autoFill="0" autoPict="0" macro="[0]!solve_cycling_valuation">
                <anchor moveWithCells="1" sizeWithCells="1">
                  <from>
                    <xdr:col>8</xdr:col>
                    <xdr:colOff>0</xdr:colOff>
                    <xdr:row>75</xdr:row>
                    <xdr:rowOff>168729</xdr:rowOff>
                  </from>
                  <to>
                    <xdr:col>8</xdr:col>
                    <xdr:colOff>604157</xdr:colOff>
                    <xdr:row>77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vt:i4>
      </vt:variant>
    </vt:vector>
  </HeadingPairs>
  <TitlesOfParts>
    <vt:vector size="29" baseType="lpstr">
      <vt:lpstr>contents</vt:lpstr>
      <vt:lpstr>demography</vt:lpstr>
      <vt:lpstr>public space</vt:lpstr>
      <vt:lpstr>reallocation policy</vt:lpstr>
      <vt:lpstr>vehicle adoption</vt:lpstr>
      <vt:lpstr>destination choice</vt:lpstr>
      <vt:lpstr>mode choice</vt:lpstr>
      <vt:lpstr>callibration</vt:lpstr>
      <vt:lpstr>Beta_5</vt:lpstr>
      <vt:lpstr>Beta_8</vt:lpstr>
      <vt:lpstr>Car_network</vt:lpstr>
      <vt:lpstr>Change_ldc</vt:lpstr>
      <vt:lpstr>Change_ldp</vt:lpstr>
      <vt:lpstr>Change_mdp</vt:lpstr>
      <vt:lpstr>Long_ldc</vt:lpstr>
      <vt:lpstr>Metro_network</vt:lpstr>
      <vt:lpstr>old</vt:lpstr>
      <vt:lpstr>Ref_access</vt:lpstr>
      <vt:lpstr>Ref_cost</vt:lpstr>
      <vt:lpstr>Ref_crowd</vt:lpstr>
      <vt:lpstr>Ref_search</vt:lpstr>
      <vt:lpstr>Solve_5</vt:lpstr>
      <vt:lpstr>Solve_8</vt:lpstr>
      <vt:lpstr>Solve_crowd</vt:lpstr>
      <vt:lpstr>Solve_ldc</vt:lpstr>
      <vt:lpstr>Solve_ldp</vt:lpstr>
      <vt:lpstr>Solve_mdb</vt:lpstr>
      <vt:lpstr>Solve_mdc</vt:lpstr>
      <vt:lpstr>Solve_mdp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 Arnoldus</dc:creator>
  <cp:lastModifiedBy>Micha Arnoldus</cp:lastModifiedBy>
  <dcterms:created xsi:type="dcterms:W3CDTF">2015-06-05T18:17:20Z</dcterms:created>
  <dcterms:modified xsi:type="dcterms:W3CDTF">2024-11-08T10:46:34Z</dcterms:modified>
</cp:coreProperties>
</file>