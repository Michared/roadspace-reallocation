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G:\My Drive\Thesis\"/>
    </mc:Choice>
  </mc:AlternateContent>
  <xr:revisionPtr revIDLastSave="0" documentId="13_ncr:1_{3539D899-7B3B-40A8-BC0C-EB4D6F2D12A8}" xr6:coauthVersionLast="47" xr6:coauthVersionMax="47" xr10:uidLastSave="{00000000-0000-0000-0000-000000000000}"/>
  <bookViews>
    <workbookView xWindow="-103" yWindow="-103" windowWidth="19543" windowHeight="12377" firstSheet="2" activeTab="6" xr2:uid="{00000000-000D-0000-FFFF-FFFF00000000}"/>
  </bookViews>
  <sheets>
    <sheet name="estimates" sheetId="2" r:id="rId1"/>
    <sheet name="scenario_switches" sheetId="9" r:id="rId2"/>
    <sheet name="effect_lookups" sheetId="5" r:id="rId3"/>
    <sheet name="MARS_lookups" sheetId="11" r:id="rId4"/>
    <sheet name="callibration" sheetId="7" r:id="rId5"/>
    <sheet name="model" sheetId="1" r:id="rId6"/>
    <sheet name="uncertain parameters" sheetId="8" r:id="rId7"/>
    <sheet name="old" sheetId="4" r:id="rId8"/>
  </sheets>
  <definedNames>
    <definedName name="_xleta.OR" hidden="1" xlm="1">#NAME?</definedName>
    <definedName name="_xleta.T" hidden="1" xlm="1">#NAME?</definedName>
    <definedName name="Beta_5">callibration!$G$16</definedName>
    <definedName name="Beta_8">callibration!$G$5</definedName>
    <definedName name="Car_network">callibration!$D$52</definedName>
    <definedName name="Change_ldc">callibration!$D$33</definedName>
    <definedName name="Change_ldp">callibration!$D$41</definedName>
    <definedName name="Change_mdp">callibration!$D$64</definedName>
    <definedName name="Long_ldc">callibration!$D$33</definedName>
    <definedName name="Metro_network">callibration!$D$60</definedName>
    <definedName name="old">callibration!$D$45</definedName>
    <definedName name="Ref_access">callibration!$D$45</definedName>
    <definedName name="Ref_cost">callibration!$D$77</definedName>
    <definedName name="Ref_search">callibration!$D$33</definedName>
    <definedName name="Solve_5">callibration!$M$20</definedName>
    <definedName name="Solve_8">callibration!$M$8</definedName>
    <definedName name="Solve_ldc">callibration!$I$33</definedName>
    <definedName name="Solve_ldp">callibration!$I$41</definedName>
    <definedName name="Solve_mdb">callibration!$I$73</definedName>
    <definedName name="Solve_mdc">callibration!$I$54</definedName>
    <definedName name="Solve_mdp">callibration!$I$62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 i="8" l="1" a="1"/>
  <c r="B53" i="8" s="1"/>
  <c r="C53" i="8" a="1"/>
  <c r="C53" i="8" s="1"/>
  <c r="D53" i="8" a="1"/>
  <c r="D53" i="8" s="1"/>
  <c r="E53" i="8" a="1"/>
  <c r="E53" i="8" s="1"/>
  <c r="F53" i="8" a="1"/>
  <c r="F53" i="8" s="1"/>
  <c r="G53" i="8" a="1"/>
  <c r="G53" i="8" s="1"/>
  <c r="H53" i="8" a="1"/>
  <c r="H53" i="8" s="1"/>
  <c r="I53" i="8" a="1"/>
  <c r="I53" i="8" s="1"/>
  <c r="B54" i="8" a="1"/>
  <c r="B54" i="8"/>
  <c r="B55" i="8" a="1"/>
  <c r="B55" i="8" s="1"/>
  <c r="C55" i="8" a="1"/>
  <c r="C55" i="8" s="1"/>
  <c r="D55" i="8" a="1"/>
  <c r="D55" i="8" s="1"/>
  <c r="E55" i="8" a="1"/>
  <c r="E55" i="8" s="1"/>
  <c r="F55" i="8" a="1"/>
  <c r="F55" i="8" s="1"/>
  <c r="G55" i="8" a="1"/>
  <c r="G55" i="8" s="1"/>
  <c r="H55" i="8" a="1"/>
  <c r="H55" i="8" s="1"/>
  <c r="I55" i="8" a="1"/>
  <c r="I55" i="8" s="1"/>
  <c r="B56" i="8" a="1"/>
  <c r="B56" i="8" s="1"/>
  <c r="B57" i="8" a="1"/>
  <c r="B57" i="8" s="1"/>
  <c r="C57" i="8" a="1"/>
  <c r="C57" i="8" s="1"/>
  <c r="D57" i="8" a="1"/>
  <c r="D57" i="8" s="1"/>
  <c r="E57" i="8" a="1"/>
  <c r="E57" i="8" s="1"/>
  <c r="F57" i="8" a="1"/>
  <c r="F57" i="8" s="1"/>
  <c r="G57" i="8" a="1"/>
  <c r="G57" i="8" s="1"/>
  <c r="H57" i="8" a="1"/>
  <c r="H57" i="8" s="1"/>
  <c r="I57" i="8" a="1"/>
  <c r="I57" i="8" s="1"/>
  <c r="B58" i="8" a="1"/>
  <c r="B58" i="8" s="1"/>
  <c r="B59" i="8" a="1"/>
  <c r="B59" i="8" s="1"/>
  <c r="C59" i="8" a="1"/>
  <c r="C59" i="8" s="1"/>
  <c r="D59" i="8" a="1"/>
  <c r="D59" i="8" s="1"/>
  <c r="E59" i="8" a="1"/>
  <c r="E59" i="8" s="1"/>
  <c r="F59" i="8" a="1"/>
  <c r="F59" i="8" s="1"/>
  <c r="G59" i="8" a="1"/>
  <c r="G59" i="8" s="1"/>
  <c r="H59" i="8" a="1"/>
  <c r="H59" i="8" s="1"/>
  <c r="I59" i="8" a="1"/>
  <c r="I59" i="8" s="1"/>
  <c r="B60" i="8" a="1"/>
  <c r="B60" i="8" s="1"/>
  <c r="B61" i="8" a="1"/>
  <c r="B61" i="8" s="1"/>
  <c r="C61" i="8" a="1"/>
  <c r="C61" i="8" s="1"/>
  <c r="D61" i="8" a="1"/>
  <c r="D61" i="8" s="1"/>
  <c r="E61" i="8" a="1"/>
  <c r="E61" i="8" s="1"/>
  <c r="F61" i="8" a="1"/>
  <c r="F61" i="8" s="1"/>
  <c r="G61" i="8" a="1"/>
  <c r="G61" i="8" s="1"/>
  <c r="H61" i="8" a="1"/>
  <c r="H61" i="8" s="1"/>
  <c r="I61" i="8" a="1"/>
  <c r="I61" i="8"/>
  <c r="B62" i="8" a="1"/>
  <c r="B62" i="8" s="1"/>
  <c r="B63" i="8" a="1"/>
  <c r="B63" i="8" s="1"/>
  <c r="C63" i="8" a="1"/>
  <c r="C63" i="8" s="1"/>
  <c r="D63" i="8" a="1"/>
  <c r="D63" i="8" s="1"/>
  <c r="E63" i="8" a="1"/>
  <c r="E63" i="8" s="1"/>
  <c r="F63" i="8" a="1"/>
  <c r="F63" i="8" s="1"/>
  <c r="G63" i="8" a="1"/>
  <c r="G63" i="8" s="1"/>
  <c r="H63" i="8" a="1"/>
  <c r="H63" i="8" s="1"/>
  <c r="I63" i="8" a="1"/>
  <c r="I63" i="8" s="1"/>
  <c r="B64" i="8" a="1"/>
  <c r="B64" i="8" s="1"/>
  <c r="B65" i="8" a="1"/>
  <c r="B65" i="8" s="1"/>
  <c r="C65" i="8" a="1"/>
  <c r="C65" i="8" s="1"/>
  <c r="D65" i="8" a="1"/>
  <c r="D65" i="8" s="1"/>
  <c r="E65" i="8" a="1"/>
  <c r="E65" i="8" s="1"/>
  <c r="F65" i="8" a="1"/>
  <c r="F65" i="8" s="1"/>
  <c r="G65" i="8" a="1"/>
  <c r="G65" i="8" s="1"/>
  <c r="H65" i="8" a="1"/>
  <c r="H65" i="8" s="1"/>
  <c r="I65" i="8" a="1"/>
  <c r="I65" i="8" s="1"/>
  <c r="B66" i="8" a="1"/>
  <c r="B66" i="8" s="1"/>
  <c r="B67" i="8" a="1"/>
  <c r="B67" i="8" s="1"/>
  <c r="C67" i="8" a="1"/>
  <c r="C67" i="8" s="1"/>
  <c r="D67" i="8" a="1"/>
  <c r="D67" i="8" s="1"/>
  <c r="E67" i="8" a="1"/>
  <c r="E67" i="8" s="1"/>
  <c r="F67" i="8" a="1"/>
  <c r="F67" i="8" s="1"/>
  <c r="G67" i="8" a="1"/>
  <c r="G67" i="8" s="1"/>
  <c r="H67" i="8" a="1"/>
  <c r="H67" i="8" s="1"/>
  <c r="I67" i="8" a="1"/>
  <c r="I67" i="8"/>
  <c r="B68" i="8" a="1"/>
  <c r="B68" i="8" s="1"/>
  <c r="B69" i="8" a="1"/>
  <c r="B69" i="8" s="1"/>
  <c r="C69" i="8" a="1"/>
  <c r="C69" i="8" s="1"/>
  <c r="D69" i="8" a="1"/>
  <c r="D69" i="8" s="1"/>
  <c r="E69" i="8" a="1"/>
  <c r="E69" i="8" s="1"/>
  <c r="F69" i="8" a="1"/>
  <c r="F69" i="8"/>
  <c r="G69" i="8" a="1"/>
  <c r="G69" i="8" s="1"/>
  <c r="H69" i="8" a="1"/>
  <c r="H69" i="8" s="1"/>
  <c r="I69" i="8" a="1"/>
  <c r="I69" i="8" s="1"/>
  <c r="B70" i="8" a="1"/>
  <c r="B70" i="8"/>
  <c r="B71" i="8" a="1"/>
  <c r="B71" i="8" s="1"/>
  <c r="C71" i="8" a="1"/>
  <c r="C71" i="8" s="1"/>
  <c r="D71" i="8" a="1"/>
  <c r="D71" i="8" s="1"/>
  <c r="E71" i="8" a="1"/>
  <c r="E71" i="8" s="1"/>
  <c r="F71" i="8" a="1"/>
  <c r="F71" i="8" s="1"/>
  <c r="G71" i="8" a="1"/>
  <c r="G71" i="8"/>
  <c r="H71" i="8" a="1"/>
  <c r="H71" i="8" s="1"/>
  <c r="I71" i="8" a="1"/>
  <c r="I71" i="8" s="1"/>
  <c r="B72" i="8" a="1"/>
  <c r="B72" i="8" s="1"/>
  <c r="B73" i="8" a="1"/>
  <c r="B73" i="8" s="1"/>
  <c r="C73" i="8" a="1"/>
  <c r="C73" i="8" s="1"/>
  <c r="D73" i="8" a="1"/>
  <c r="D73" i="8" s="1"/>
  <c r="E73" i="8" a="1"/>
  <c r="E73" i="8" s="1"/>
  <c r="F73" i="8" a="1"/>
  <c r="F73" i="8"/>
  <c r="G73" i="8" a="1"/>
  <c r="G73" i="8" s="1"/>
  <c r="H73" i="8" a="1"/>
  <c r="H73" i="8" s="1"/>
  <c r="I73" i="8" a="1"/>
  <c r="I73" i="8" s="1"/>
  <c r="B74" i="8" a="1"/>
  <c r="B74" i="8" s="1"/>
  <c r="B75" i="8" a="1"/>
  <c r="B75" i="8" s="1"/>
  <c r="C75" i="8" a="1"/>
  <c r="C75" i="8" s="1"/>
  <c r="D75" i="8" a="1"/>
  <c r="D75" i="8"/>
  <c r="E75" i="8" a="1"/>
  <c r="E75" i="8" s="1"/>
  <c r="F75" i="8" a="1"/>
  <c r="F75" i="8" s="1"/>
  <c r="G75" i="8" a="1"/>
  <c r="G75" i="8"/>
  <c r="H75" i="8" a="1"/>
  <c r="H75" i="8" s="1"/>
  <c r="I75" i="8" a="1"/>
  <c r="I75" i="8" s="1"/>
  <c r="B76" i="8" a="1"/>
  <c r="B76" i="8" s="1"/>
  <c r="B77" i="8" a="1"/>
  <c r="B77" i="8" s="1"/>
  <c r="C77" i="8" a="1"/>
  <c r="C77" i="8" s="1"/>
  <c r="D77" i="8" a="1"/>
  <c r="D77" i="8" s="1"/>
  <c r="E77" i="8" a="1"/>
  <c r="E77" i="8" s="1"/>
  <c r="F77" i="8" a="1"/>
  <c r="F77" i="8" s="1"/>
  <c r="G77" i="8" a="1"/>
  <c r="G77" i="8" s="1"/>
  <c r="H77" i="8" a="1"/>
  <c r="H77" i="8" s="1"/>
  <c r="I77" i="8" a="1"/>
  <c r="I77" i="8" s="1"/>
  <c r="B78" i="8" a="1"/>
  <c r="B78" i="8" s="1"/>
  <c r="B79" i="8" a="1"/>
  <c r="B79" i="8" s="1"/>
  <c r="C79" i="8" a="1"/>
  <c r="C79" i="8" s="1"/>
  <c r="D79" i="8" a="1"/>
  <c r="D79" i="8" s="1"/>
  <c r="E79" i="8" a="1"/>
  <c r="E79" i="8" s="1"/>
  <c r="F79" i="8" a="1"/>
  <c r="F79" i="8" s="1"/>
  <c r="G79" i="8" a="1"/>
  <c r="G79" i="8" s="1"/>
  <c r="H79" i="8" a="1"/>
  <c r="H79" i="8" s="1"/>
  <c r="I79" i="8" a="1"/>
  <c r="I79" i="8" s="1"/>
  <c r="B80" i="8" a="1"/>
  <c r="B80" i="8"/>
  <c r="B81" i="8" a="1"/>
  <c r="B81" i="8" s="1"/>
  <c r="C81" i="8" a="1"/>
  <c r="C81" i="8" s="1"/>
  <c r="D81" i="8" a="1"/>
  <c r="D81" i="8" s="1"/>
  <c r="E81" i="8" a="1"/>
  <c r="E81" i="8" s="1"/>
  <c r="F81" i="8" a="1"/>
  <c r="F81" i="8" s="1"/>
  <c r="G81" i="8" a="1"/>
  <c r="G81" i="8" s="1"/>
  <c r="H81" i="8" a="1"/>
  <c r="H81" i="8" s="1"/>
  <c r="I81" i="8" a="1"/>
  <c r="I81" i="8"/>
  <c r="B82" i="8" a="1"/>
  <c r="B82" i="8" s="1"/>
  <c r="B83" i="8" a="1"/>
  <c r="B83" i="8" s="1"/>
  <c r="C83" i="8" a="1"/>
  <c r="C83" i="8" s="1"/>
  <c r="D83" i="8" a="1"/>
  <c r="D83" i="8"/>
  <c r="E83" i="8" a="1"/>
  <c r="E83" i="8" s="1"/>
  <c r="F83" i="8" a="1"/>
  <c r="F83" i="8" s="1"/>
  <c r="G83" i="8" a="1"/>
  <c r="G83" i="8" s="1"/>
  <c r="H83" i="8" a="1"/>
  <c r="H83" i="8" s="1"/>
  <c r="I83" i="8" a="1"/>
  <c r="I83" i="8" s="1"/>
  <c r="B84" i="8" a="1"/>
  <c r="B84" i="8" s="1"/>
  <c r="B85" i="8" a="1"/>
  <c r="B85" i="8" s="1"/>
  <c r="C85" i="8" a="1"/>
  <c r="C85" i="8" s="1"/>
  <c r="D85" i="8" a="1"/>
  <c r="D85" i="8" s="1"/>
  <c r="E85" i="8" a="1"/>
  <c r="E85" i="8" s="1"/>
  <c r="F85" i="8" a="1"/>
  <c r="F85" i="8"/>
  <c r="G85" i="8" a="1"/>
  <c r="G85" i="8" s="1"/>
  <c r="H85" i="8" a="1"/>
  <c r="H85" i="8" s="1"/>
  <c r="I85" i="8" a="1"/>
  <c r="I85" i="8" s="1"/>
  <c r="B86" i="8" a="1"/>
  <c r="B86" i="8" s="1"/>
  <c r="B87" i="8" a="1"/>
  <c r="B87" i="8" s="1"/>
  <c r="C87" i="8" a="1"/>
  <c r="C87" i="8" s="1"/>
  <c r="D87" i="8" a="1"/>
  <c r="D87" i="8"/>
  <c r="E87" i="8" a="1"/>
  <c r="E87" i="8"/>
  <c r="F87" i="8" a="1"/>
  <c r="F87" i="8" s="1"/>
  <c r="G87" i="8" a="1"/>
  <c r="G87" i="8" s="1"/>
  <c r="H87" i="8" a="1"/>
  <c r="H87" i="8" s="1"/>
  <c r="I87" i="8" a="1"/>
  <c r="I87" i="8"/>
  <c r="B88" i="8" a="1"/>
  <c r="B88" i="8" s="1"/>
  <c r="B89" i="8" a="1"/>
  <c r="B89" i="8" s="1"/>
  <c r="C89" i="8" a="1"/>
  <c r="C89" i="8" s="1"/>
  <c r="D89" i="8" a="1"/>
  <c r="D89" i="8" s="1"/>
  <c r="E89" i="8" a="1"/>
  <c r="E89" i="8" s="1"/>
  <c r="F89" i="8" a="1"/>
  <c r="F89" i="8" s="1"/>
  <c r="G89" i="8" a="1"/>
  <c r="G89" i="8" s="1"/>
  <c r="H89" i="8" a="1"/>
  <c r="H89" i="8" s="1"/>
  <c r="I89" i="8" a="1"/>
  <c r="I89" i="8" s="1"/>
  <c r="B90" i="8" a="1"/>
  <c r="B90" i="8" s="1"/>
  <c r="B91" i="8" a="1"/>
  <c r="B91" i="8" s="1"/>
  <c r="C91" i="8" a="1"/>
  <c r="C91" i="8"/>
  <c r="D91" i="8" a="1"/>
  <c r="D91" i="8" s="1"/>
  <c r="E91" i="8" a="1"/>
  <c r="E91" i="8" s="1"/>
  <c r="F91" i="8" a="1"/>
  <c r="F91" i="8" s="1"/>
  <c r="G91" i="8" a="1"/>
  <c r="G91" i="8" s="1"/>
  <c r="H91" i="8" a="1"/>
  <c r="H91" i="8" s="1"/>
  <c r="I91" i="8" a="1"/>
  <c r="I91" i="8" s="1"/>
  <c r="B92" i="8" a="1"/>
  <c r="B92" i="8" s="1"/>
  <c r="B51" i="8" a="1"/>
  <c r="B51" i="8" s="1"/>
  <c r="C51" i="8" a="1"/>
  <c r="C51" i="8" s="1"/>
  <c r="D51" i="8" a="1"/>
  <c r="D51" i="8"/>
  <c r="E51" i="8" a="1"/>
  <c r="E51" i="8" s="1"/>
  <c r="F51" i="8" a="1"/>
  <c r="F51" i="8" s="1"/>
  <c r="H51" i="8" a="1"/>
  <c r="H51" i="8" s="1"/>
  <c r="I51" i="8" a="1"/>
  <c r="I51" i="8" s="1"/>
  <c r="B52" i="8" a="1"/>
  <c r="B52" i="8" s="1"/>
  <c r="B50" i="8" a="1"/>
  <c r="B50" i="8" s="1"/>
  <c r="C49" i="8" a="1"/>
  <c r="C49" i="8" s="1"/>
  <c r="D49" i="8" a="1"/>
  <c r="D49" i="8" s="1"/>
  <c r="E49" i="8" a="1"/>
  <c r="E49" i="8" s="1"/>
  <c r="F49" i="8" a="1"/>
  <c r="F49" i="8" s="1"/>
  <c r="G49" i="8" a="1"/>
  <c r="G49" i="8" s="1"/>
  <c r="H49" i="8" a="1"/>
  <c r="H49" i="8" s="1"/>
  <c r="I49" i="8" a="1"/>
  <c r="I49" i="8" s="1"/>
  <c r="B49" i="8" a="1"/>
  <c r="B49" i="8" s="1"/>
  <c r="E12" i="2"/>
  <c r="D4" i="2"/>
  <c r="D5" i="2"/>
  <c r="D6" i="2"/>
  <c r="D7" i="2"/>
  <c r="D311" i="5"/>
  <c r="J303" i="5"/>
  <c r="F37" i="8" a="1"/>
  <c r="F37" i="8" s="1"/>
  <c r="C36" i="8" a="1"/>
  <c r="C36" i="8" s="1"/>
  <c r="B36" i="8" a="1"/>
  <c r="B36" i="8" s="1"/>
  <c r="M286" i="5"/>
  <c r="C300" i="5"/>
  <c r="D300" i="5" s="1"/>
  <c r="C297" i="5"/>
  <c r="C312" i="5" s="1"/>
  <c r="B301" i="5"/>
  <c r="B302" i="5" s="1"/>
  <c r="B303" i="5" s="1"/>
  <c r="B304" i="5" s="1"/>
  <c r="B305" i="5" s="1"/>
  <c r="B306" i="5" s="1"/>
  <c r="B284" i="5"/>
  <c r="B285" i="5" s="1"/>
  <c r="B286" i="5" s="1"/>
  <c r="B287" i="5" s="1"/>
  <c r="B288" i="5" s="1"/>
  <c r="B289" i="5" s="1"/>
  <c r="B290" i="5" s="1"/>
  <c r="B291" i="5" s="1"/>
  <c r="B292" i="5" s="1"/>
  <c r="B293" i="5" s="1"/>
  <c r="C283" i="5"/>
  <c r="D283" i="5" s="1"/>
  <c r="C280" i="5"/>
  <c r="C293" i="5" s="1"/>
  <c r="C294" i="5" s="1"/>
  <c r="D294" i="5" s="1"/>
  <c r="F59" i="11"/>
  <c r="G59" i="11"/>
  <c r="H59" i="11"/>
  <c r="E59" i="11"/>
  <c r="F51" i="11"/>
  <c r="I51" i="11"/>
  <c r="J51" i="11"/>
  <c r="K51" i="11"/>
  <c r="L51" i="11"/>
  <c r="I52" i="11"/>
  <c r="J52" i="11"/>
  <c r="K52" i="11"/>
  <c r="L52" i="11"/>
  <c r="I53" i="11"/>
  <c r="J53" i="11"/>
  <c r="K53" i="11"/>
  <c r="L53" i="11"/>
  <c r="I54" i="11"/>
  <c r="J54" i="11"/>
  <c r="K54" i="11"/>
  <c r="L54" i="11"/>
  <c r="I55" i="11"/>
  <c r="J55" i="11"/>
  <c r="K55" i="11"/>
  <c r="L55" i="11"/>
  <c r="I56" i="11"/>
  <c r="J56" i="11"/>
  <c r="K56" i="11"/>
  <c r="L56" i="11"/>
  <c r="I57" i="11"/>
  <c r="J57" i="11"/>
  <c r="K57" i="11"/>
  <c r="L57" i="11"/>
  <c r="I58" i="11"/>
  <c r="J58" i="11"/>
  <c r="K58" i="11"/>
  <c r="L58" i="11"/>
  <c r="E51" i="11"/>
  <c r="G51" i="11"/>
  <c r="H51" i="11"/>
  <c r="E52" i="11"/>
  <c r="F52" i="11"/>
  <c r="G52" i="11"/>
  <c r="H52" i="11"/>
  <c r="E53" i="11"/>
  <c r="F53" i="11"/>
  <c r="G53" i="11"/>
  <c r="H53" i="11"/>
  <c r="E54" i="11"/>
  <c r="F54" i="11"/>
  <c r="G54" i="11"/>
  <c r="H54" i="11"/>
  <c r="E55" i="11"/>
  <c r="F55" i="11"/>
  <c r="G55" i="11"/>
  <c r="H55" i="11"/>
  <c r="E56" i="11"/>
  <c r="F56" i="11"/>
  <c r="G56" i="11"/>
  <c r="H56" i="11"/>
  <c r="E57" i="11"/>
  <c r="F57" i="11"/>
  <c r="G57" i="11"/>
  <c r="H57" i="11"/>
  <c r="E58" i="11"/>
  <c r="F58" i="11"/>
  <c r="G58" i="11"/>
  <c r="H58" i="11"/>
  <c r="D57" i="11"/>
  <c r="D58" i="11"/>
  <c r="D44" i="11"/>
  <c r="D45" i="11"/>
  <c r="D46" i="11" s="1"/>
  <c r="D47" i="11" s="1"/>
  <c r="D48" i="11" s="1"/>
  <c r="D49" i="11" s="1"/>
  <c r="D50" i="11" s="1"/>
  <c r="D51" i="11" s="1"/>
  <c r="D52" i="11" s="1"/>
  <c r="D53" i="11" s="1"/>
  <c r="D54" i="11" s="1"/>
  <c r="D55" i="11" s="1"/>
  <c r="D56" i="11" s="1"/>
  <c r="D43" i="11"/>
  <c r="F43" i="11" s="1"/>
  <c r="J43" i="11" s="1"/>
  <c r="D31" i="8"/>
  <c r="D32" i="8"/>
  <c r="D30" i="8"/>
  <c r="G217" i="2"/>
  <c r="J28" i="8"/>
  <c r="C241" i="5"/>
  <c r="C242" i="5" s="1"/>
  <c r="D242" i="5" s="1"/>
  <c r="C239" i="5"/>
  <c r="B232" i="5"/>
  <c r="B233" i="5" s="1"/>
  <c r="B234" i="5" s="1"/>
  <c r="B235" i="5" s="1"/>
  <c r="B236" i="5" s="1"/>
  <c r="C227" i="5"/>
  <c r="B241" i="5" s="1"/>
  <c r="C225" i="5"/>
  <c r="C230" i="5" s="1"/>
  <c r="D230" i="5" s="1"/>
  <c r="H32" i="11"/>
  <c r="H33" i="11"/>
  <c r="H34" i="11"/>
  <c r="E33" i="11"/>
  <c r="G33" i="11" s="1"/>
  <c r="E32" i="11"/>
  <c r="G32" i="11"/>
  <c r="H30" i="11"/>
  <c r="H31" i="11"/>
  <c r="E30" i="11"/>
  <c r="G30" i="11" s="1"/>
  <c r="E31" i="11"/>
  <c r="G31" i="11" s="1"/>
  <c r="E34" i="11"/>
  <c r="G34" i="11" s="1"/>
  <c r="C266" i="5"/>
  <c r="C255" i="5"/>
  <c r="M257" i="5"/>
  <c r="B262" i="5"/>
  <c r="B263" i="5" s="1"/>
  <c r="B264" i="5" s="1"/>
  <c r="B265" i="5" s="1"/>
  <c r="B266" i="5" s="1"/>
  <c r="G6" i="8"/>
  <c r="D36" i="8" s="1" a="1"/>
  <c r="D36" i="8" s="1"/>
  <c r="E169" i="4"/>
  <c r="N149" i="4"/>
  <c r="N148" i="4"/>
  <c r="N146" i="4"/>
  <c r="N145" i="4"/>
  <c r="N144" i="4"/>
  <c r="N143" i="4"/>
  <c r="M142" i="4" a="1"/>
  <c r="M142" i="4" s="1"/>
  <c r="N142" i="4" s="1"/>
  <c r="O142" i="4" s="1"/>
  <c r="G140" i="4"/>
  <c r="F140" i="4"/>
  <c r="G138" i="4"/>
  <c r="G137" i="4"/>
  <c r="B130" i="4"/>
  <c r="B131" i="4" s="1"/>
  <c r="B132" i="4" s="1"/>
  <c r="B133" i="4" s="1"/>
  <c r="B134" i="4" s="1"/>
  <c r="B135" i="4" s="1"/>
  <c r="B136" i="4" s="1"/>
  <c r="B137" i="4" s="1"/>
  <c r="B138" i="4" s="1"/>
  <c r="B139" i="4" s="1"/>
  <c r="B140" i="4" s="1"/>
  <c r="B141" i="4" s="1"/>
  <c r="B142" i="4" s="1"/>
  <c r="B143" i="4" s="1"/>
  <c r="B144" i="4" s="1"/>
  <c r="B145" i="4" s="1"/>
  <c r="B146" i="4" s="1"/>
  <c r="B147" i="4" s="1"/>
  <c r="B148" i="4" s="1"/>
  <c r="B149" i="4" s="1"/>
  <c r="B150" i="4" s="1"/>
  <c r="B154" i="4" s="1"/>
  <c r="O128" i="4" a="1"/>
  <c r="O128" i="4" s="1"/>
  <c r="N128" i="4" a="1"/>
  <c r="N128" i="4" s="1"/>
  <c r="M128" i="4" a="1"/>
  <c r="M128" i="4" s="1"/>
  <c r="C113" i="4"/>
  <c r="D113" i="4" s="1"/>
  <c r="K113" i="4"/>
  <c r="L113" i="4" s="1"/>
  <c r="B114" i="4"/>
  <c r="D114" i="4" s="1"/>
  <c r="J114" i="4"/>
  <c r="L114" i="4"/>
  <c r="B115" i="4"/>
  <c r="D115" i="4"/>
  <c r="J115" i="4"/>
  <c r="L115" i="4"/>
  <c r="B116" i="4"/>
  <c r="B117" i="4" s="1"/>
  <c r="D116" i="4"/>
  <c r="J116" i="4"/>
  <c r="J117" i="4" s="1"/>
  <c r="L116" i="4"/>
  <c r="D120" i="4"/>
  <c r="L120" i="4"/>
  <c r="C94" i="4"/>
  <c r="F94" i="4" s="1"/>
  <c r="D94" i="4"/>
  <c r="G94" i="4" s="1"/>
  <c r="E94" i="4"/>
  <c r="H94" i="4" s="1"/>
  <c r="K94" i="4"/>
  <c r="L94" i="4"/>
  <c r="L95" i="4" s="1"/>
  <c r="M94" i="4"/>
  <c r="N94" i="4"/>
  <c r="O94" i="4"/>
  <c r="P94" i="4"/>
  <c r="D95" i="4"/>
  <c r="G95" i="4" s="1"/>
  <c r="E95" i="4"/>
  <c r="H95" i="4" s="1"/>
  <c r="K95" i="4"/>
  <c r="N95" i="4" s="1"/>
  <c r="B217" i="5"/>
  <c r="C203" i="5"/>
  <c r="B216" i="5" s="1"/>
  <c r="D201" i="5"/>
  <c r="C206" i="5" s="1"/>
  <c r="D206" i="5" s="1"/>
  <c r="B208" i="5"/>
  <c r="M112" i="5"/>
  <c r="D34" i="7"/>
  <c r="F24" i="11"/>
  <c r="H24" i="11" s="1"/>
  <c r="E28" i="11"/>
  <c r="G28" i="11" s="1"/>
  <c r="F28" i="11"/>
  <c r="H28" i="11" s="1"/>
  <c r="E26" i="11"/>
  <c r="G26" i="11" s="1"/>
  <c r="F26" i="11"/>
  <c r="H26" i="11" s="1"/>
  <c r="E24" i="11"/>
  <c r="G24" i="11" s="1"/>
  <c r="E22" i="11"/>
  <c r="G22" i="11" s="1"/>
  <c r="F22" i="11"/>
  <c r="H22" i="11" s="1"/>
  <c r="C150" i="2"/>
  <c r="C149" i="2"/>
  <c r="C148" i="2"/>
  <c r="C146" i="2"/>
  <c r="C145" i="2"/>
  <c r="E16" i="2"/>
  <c r="B123" i="5"/>
  <c r="B118" i="5" s="1"/>
  <c r="B119" i="5" s="1"/>
  <c r="B120" i="5" s="1"/>
  <c r="B121" i="5" s="1"/>
  <c r="B122" i="5" s="1"/>
  <c r="E15" i="2"/>
  <c r="D60" i="7"/>
  <c r="D45" i="7"/>
  <c r="D63" i="7"/>
  <c r="D42" i="7"/>
  <c r="D44" i="7"/>
  <c r="H41" i="11"/>
  <c r="L41" i="11" s="1"/>
  <c r="H42" i="11"/>
  <c r="L42" i="11" s="1"/>
  <c r="H40" i="11"/>
  <c r="L40" i="11" s="1"/>
  <c r="G41" i="11"/>
  <c r="K41" i="11" s="1"/>
  <c r="G42" i="11"/>
  <c r="K42" i="11" s="1"/>
  <c r="G40" i="11"/>
  <c r="K40" i="11" s="1"/>
  <c r="C109" i="5"/>
  <c r="F41" i="11"/>
  <c r="J41" i="11" s="1"/>
  <c r="F42" i="11"/>
  <c r="J42" i="11" s="1"/>
  <c r="F44" i="11"/>
  <c r="J44" i="11" s="1"/>
  <c r="F40" i="11"/>
  <c r="J40" i="11" s="1"/>
  <c r="E42" i="11"/>
  <c r="I42" i="11" s="1"/>
  <c r="E41" i="11"/>
  <c r="I41" i="11" s="1"/>
  <c r="E40" i="11"/>
  <c r="I40" i="11" s="1"/>
  <c r="F12" i="11"/>
  <c r="H12" i="11" s="1"/>
  <c r="F13" i="11"/>
  <c r="H13" i="11" s="1"/>
  <c r="F14" i="11"/>
  <c r="H14" i="11" s="1"/>
  <c r="F15" i="11"/>
  <c r="H15" i="11" s="1"/>
  <c r="F16" i="11"/>
  <c r="H16" i="11" s="1"/>
  <c r="F17" i="11"/>
  <c r="H17" i="11" s="1"/>
  <c r="F18" i="11"/>
  <c r="H18" i="11" s="1"/>
  <c r="F19" i="11"/>
  <c r="H19" i="11" s="1"/>
  <c r="F20" i="11"/>
  <c r="H20" i="11" s="1"/>
  <c r="F21" i="11"/>
  <c r="H21" i="11" s="1"/>
  <c r="F23" i="11"/>
  <c r="H23" i="11" s="1"/>
  <c r="F25" i="11"/>
  <c r="H25" i="11" s="1"/>
  <c r="F27" i="11"/>
  <c r="H27" i="11" s="1"/>
  <c r="F29" i="11"/>
  <c r="H29" i="11" s="1"/>
  <c r="F11" i="11"/>
  <c r="H11" i="11" s="1"/>
  <c r="E12" i="11"/>
  <c r="G12" i="11" s="1"/>
  <c r="E13" i="11"/>
  <c r="G13" i="11" s="1"/>
  <c r="E14" i="11"/>
  <c r="G14" i="11" s="1"/>
  <c r="E15" i="11"/>
  <c r="G15" i="11" s="1"/>
  <c r="E16" i="11"/>
  <c r="G16" i="11" s="1"/>
  <c r="E17" i="11"/>
  <c r="G17" i="11" s="1"/>
  <c r="E18" i="11"/>
  <c r="G18" i="11" s="1"/>
  <c r="E19" i="11"/>
  <c r="G19" i="11" s="1"/>
  <c r="E20" i="11"/>
  <c r="G20" i="11" s="1"/>
  <c r="E21" i="11"/>
  <c r="G21" i="11" s="1"/>
  <c r="E23" i="11"/>
  <c r="G23" i="11" s="1"/>
  <c r="E25" i="11"/>
  <c r="G25" i="11" s="1"/>
  <c r="E27" i="11"/>
  <c r="G27" i="11" s="1"/>
  <c r="E29" i="11"/>
  <c r="G29" i="11" s="1"/>
  <c r="E11" i="11"/>
  <c r="G11" i="11" s="1"/>
  <c r="G51" i="8" l="1" a="1"/>
  <c r="G51" i="8" s="1"/>
  <c r="B307" i="5"/>
  <c r="B308" i="5" s="1"/>
  <c r="B309" i="5" s="1"/>
  <c r="B310" i="5" s="1"/>
  <c r="D306" i="5"/>
  <c r="J292" i="5"/>
  <c r="D301" i="5"/>
  <c r="D302" i="5"/>
  <c r="D288" i="5"/>
  <c r="D305" i="5"/>
  <c r="D304" i="5"/>
  <c r="D303" i="5"/>
  <c r="J310" i="5"/>
  <c r="D312" i="5"/>
  <c r="D293" i="5"/>
  <c r="D307" i="5"/>
  <c r="L293" i="5"/>
  <c r="F45" i="11"/>
  <c r="J45" i="11" s="1"/>
  <c r="G45" i="11"/>
  <c r="K45" i="11" s="1"/>
  <c r="H45" i="11"/>
  <c r="L45" i="11" s="1"/>
  <c r="E45" i="11"/>
  <c r="I45" i="11" s="1"/>
  <c r="E44" i="11"/>
  <c r="I44" i="11" s="1"/>
  <c r="H44" i="11"/>
  <c r="L44" i="11" s="1"/>
  <c r="G44" i="11"/>
  <c r="K44" i="11" s="1"/>
  <c r="E43" i="11"/>
  <c r="I43" i="11" s="1"/>
  <c r="H43" i="11"/>
  <c r="L43" i="11" s="1"/>
  <c r="G43" i="11"/>
  <c r="K43" i="11" s="1"/>
  <c r="B237" i="5"/>
  <c r="D236" i="5"/>
  <c r="D241" i="5"/>
  <c r="F35" i="11"/>
  <c r="E35" i="11"/>
  <c r="M206" i="5"/>
  <c r="L212" i="5" s="1"/>
  <c r="M212" i="5" s="1"/>
  <c r="N212" i="5" s="1"/>
  <c r="L213" i="5" s="1"/>
  <c r="L117" i="4"/>
  <c r="J118" i="4"/>
  <c r="D117" i="4"/>
  <c r="B118" i="4"/>
  <c r="M95" i="4"/>
  <c r="C95" i="4"/>
  <c r="M96" i="4"/>
  <c r="P95" i="4"/>
  <c r="K96" i="4"/>
  <c r="L96" i="4"/>
  <c r="O95" i="4"/>
  <c r="D96" i="4"/>
  <c r="E96" i="4"/>
  <c r="L121" i="5"/>
  <c r="B209" i="5"/>
  <c r="B210" i="5" s="1"/>
  <c r="B211" i="5" s="1"/>
  <c r="B212" i="5" s="1"/>
  <c r="B213" i="5" s="1"/>
  <c r="B214" i="5" s="1"/>
  <c r="B215" i="5" s="1"/>
  <c r="L44" i="7"/>
  <c r="D308" i="5" l="1"/>
  <c r="M293" i="5"/>
  <c r="F46" i="11"/>
  <c r="J46" i="11" s="1"/>
  <c r="G46" i="11"/>
  <c r="K46" i="11" s="1"/>
  <c r="E46" i="11"/>
  <c r="I46" i="11" s="1"/>
  <c r="H46" i="11"/>
  <c r="L46" i="11" s="1"/>
  <c r="B238" i="5"/>
  <c r="D237" i="5"/>
  <c r="K121" i="4"/>
  <c r="C96" i="4"/>
  <c r="F96" i="4" s="1"/>
  <c r="F95" i="4"/>
  <c r="B119" i="4"/>
  <c r="D119" i="4" s="1"/>
  <c r="D118" i="4"/>
  <c r="C121" i="4" s="1"/>
  <c r="J119" i="4"/>
  <c r="L119" i="4" s="1"/>
  <c r="L118" i="4"/>
  <c r="O96" i="4"/>
  <c r="L97" i="4"/>
  <c r="N96" i="4"/>
  <c r="K97" i="4"/>
  <c r="H96" i="4"/>
  <c r="E97" i="4"/>
  <c r="G96" i="4"/>
  <c r="D97" i="4"/>
  <c r="M97" i="4"/>
  <c r="P96" i="4"/>
  <c r="C208" i="5"/>
  <c r="C210" i="5"/>
  <c r="C207" i="5"/>
  <c r="C211" i="5"/>
  <c r="C209" i="5"/>
  <c r="M113" i="5"/>
  <c r="L118" i="5" s="1"/>
  <c r="B113" i="5"/>
  <c r="B114" i="5" s="1"/>
  <c r="B115" i="5" s="1"/>
  <c r="B116" i="5" s="1"/>
  <c r="C215" i="2"/>
  <c r="C86" i="2"/>
  <c r="C85" i="2"/>
  <c r="D84" i="2"/>
  <c r="D83" i="2"/>
  <c r="H203" i="2"/>
  <c r="H202" i="2"/>
  <c r="H201" i="2"/>
  <c r="G203" i="2"/>
  <c r="G202" i="2"/>
  <c r="G201" i="2"/>
  <c r="C58" i="2"/>
  <c r="E30" i="2"/>
  <c r="E31" i="2" s="1"/>
  <c r="E28" i="2"/>
  <c r="E29" i="2" s="1"/>
  <c r="C26" i="5"/>
  <c r="M21" i="8" a="1"/>
  <c r="K10" i="9"/>
  <c r="L10" i="9" s="1"/>
  <c r="C10" i="9"/>
  <c r="D10" i="9" s="1"/>
  <c r="N293" i="5" l="1"/>
  <c r="C286" i="5" s="1"/>
  <c r="D286" i="5" s="1"/>
  <c r="C212" i="5"/>
  <c r="C213" i="5" s="1"/>
  <c r="C214" i="5" s="1"/>
  <c r="C215" i="5" s="1"/>
  <c r="C216" i="5" s="1"/>
  <c r="C217" i="5" s="1"/>
  <c r="D217" i="5" s="1"/>
  <c r="D310" i="5"/>
  <c r="F47" i="11"/>
  <c r="J47" i="11" s="1"/>
  <c r="G47" i="11"/>
  <c r="K47" i="11" s="1"/>
  <c r="E47" i="11"/>
  <c r="I47" i="11" s="1"/>
  <c r="H47" i="11"/>
  <c r="L47" i="11" s="1"/>
  <c r="B239" i="5"/>
  <c r="D238" i="5"/>
  <c r="C97" i="4"/>
  <c r="C98" i="4" s="1"/>
  <c r="F98" i="4" s="1"/>
  <c r="N97" i="4"/>
  <c r="K99" i="4" s="1"/>
  <c r="K98" i="4"/>
  <c r="N98" i="4" s="1"/>
  <c r="P97" i="4"/>
  <c r="M98" i="4"/>
  <c r="P98" i="4" s="1"/>
  <c r="D98" i="4"/>
  <c r="G98" i="4" s="1"/>
  <c r="G97" i="4"/>
  <c r="D99" i="4" s="1"/>
  <c r="E98" i="4"/>
  <c r="H98" i="4" s="1"/>
  <c r="H97" i="4"/>
  <c r="L98" i="4"/>
  <c r="O98" i="4" s="1"/>
  <c r="O97" i="4"/>
  <c r="M118" i="5"/>
  <c r="C87" i="2"/>
  <c r="E32" i="2"/>
  <c r="G204" i="2"/>
  <c r="G211" i="2" s="1"/>
  <c r="H204" i="2"/>
  <c r="H211" i="2" s="1"/>
  <c r="M21" i="8"/>
  <c r="N21" i="8" s="1"/>
  <c r="N22" i="8"/>
  <c r="N23" i="8"/>
  <c r="N25" i="8"/>
  <c r="N24" i="8"/>
  <c r="M99" i="4" l="1"/>
  <c r="C287" i="5"/>
  <c r="D287" i="5" s="1"/>
  <c r="L294" i="5"/>
  <c r="C285" i="5"/>
  <c r="D285" i="5" s="1"/>
  <c r="C284" i="5"/>
  <c r="D284" i="5" s="1"/>
  <c r="D309" i="5"/>
  <c r="C313" i="5" s="1"/>
  <c r="F48" i="11"/>
  <c r="J48" i="11" s="1"/>
  <c r="G48" i="11"/>
  <c r="K48" i="11" s="1"/>
  <c r="E48" i="11"/>
  <c r="I48" i="11" s="1"/>
  <c r="H48" i="11"/>
  <c r="L48" i="11" s="1"/>
  <c r="B240" i="5"/>
  <c r="D240" i="5" s="1"/>
  <c r="D239" i="5"/>
  <c r="L99" i="4"/>
  <c r="F97" i="4"/>
  <c r="C99" i="4" s="1"/>
  <c r="E99" i="4"/>
  <c r="N118" i="5"/>
  <c r="G208" i="2"/>
  <c r="G209" i="2"/>
  <c r="H210" i="2"/>
  <c r="H209" i="2"/>
  <c r="H208" i="2"/>
  <c r="G210" i="2"/>
  <c r="O21" i="8"/>
  <c r="C289" i="5" l="1"/>
  <c r="D289" i="5" s="1"/>
  <c r="C290" i="5"/>
  <c r="H49" i="11"/>
  <c r="L49" i="11" s="1"/>
  <c r="F49" i="11"/>
  <c r="J49" i="11" s="1"/>
  <c r="E49" i="11"/>
  <c r="I49" i="11" s="1"/>
  <c r="G49" i="11"/>
  <c r="K49" i="11" s="1"/>
  <c r="L119" i="5"/>
  <c r="C112" i="5"/>
  <c r="D112" i="5" s="1"/>
  <c r="C115" i="5"/>
  <c r="C116" i="5"/>
  <c r="C113" i="5"/>
  <c r="C117" i="5"/>
  <c r="C114" i="5"/>
  <c r="K209" i="2"/>
  <c r="J209" i="2"/>
  <c r="J210" i="2" s="1"/>
  <c r="C188" i="2"/>
  <c r="D74" i="7"/>
  <c r="A6" i="8"/>
  <c r="E103" i="2"/>
  <c r="C100" i="2"/>
  <c r="I84" i="2"/>
  <c r="H84" i="2"/>
  <c r="G84" i="2"/>
  <c r="D73" i="7"/>
  <c r="D72" i="7"/>
  <c r="C70" i="4"/>
  <c r="K21" i="9"/>
  <c r="C21" i="9"/>
  <c r="L9" i="9"/>
  <c r="D9" i="9"/>
  <c r="L8" i="9"/>
  <c r="D8" i="9"/>
  <c r="L7" i="9"/>
  <c r="D7" i="9"/>
  <c r="C160" i="2"/>
  <c r="C156" i="2"/>
  <c r="D249" i="2"/>
  <c r="C249" i="2"/>
  <c r="B249" i="2"/>
  <c r="D48" i="2"/>
  <c r="D44" i="2"/>
  <c r="C44" i="2"/>
  <c r="C45" i="2" s="1"/>
  <c r="C291" i="5" l="1"/>
  <c r="D290" i="5"/>
  <c r="H50" i="11"/>
  <c r="L50" i="11" s="1"/>
  <c r="E50" i="11"/>
  <c r="I50" i="11" s="1"/>
  <c r="G50" i="11"/>
  <c r="K50" i="11" s="1"/>
  <c r="F50" i="11"/>
  <c r="J50" i="11" s="1"/>
  <c r="A7" i="8"/>
  <c r="A8" i="8" s="1"/>
  <c r="A9" i="8" s="1"/>
  <c r="A10" i="8" s="1"/>
  <c r="A11" i="8" s="1"/>
  <c r="A12" i="8" s="1"/>
  <c r="A13" i="8" s="1"/>
  <c r="A14" i="8" s="1"/>
  <c r="A15" i="8" s="1"/>
  <c r="A16" i="8" s="1"/>
  <c r="A17" i="8" s="1"/>
  <c r="A18" i="8" s="1"/>
  <c r="A19" i="8" s="1"/>
  <c r="A20" i="8" s="1"/>
  <c r="A21" i="8" s="1"/>
  <c r="A22" i="8" s="1"/>
  <c r="A23" i="8" s="1"/>
  <c r="A24" i="8" s="1"/>
  <c r="A25" i="8" s="1"/>
  <c r="A26" i="8" s="1"/>
  <c r="C118" i="5"/>
  <c r="C119" i="5" s="1"/>
  <c r="C120" i="5" s="1"/>
  <c r="C121" i="5" s="1"/>
  <c r="C122" i="5" s="1"/>
  <c r="C11" i="9"/>
  <c r="K11" i="9"/>
  <c r="D100" i="2"/>
  <c r="C71" i="4"/>
  <c r="C73" i="4" s="1"/>
  <c r="C250" i="2"/>
  <c r="D250" i="2"/>
  <c r="C37" i="2"/>
  <c r="D4" i="4"/>
  <c r="C4" i="4"/>
  <c r="D3" i="4"/>
  <c r="C3" i="4"/>
  <c r="C62" i="2"/>
  <c r="C60" i="2"/>
  <c r="C292" i="5" l="1"/>
  <c r="D292" i="5" s="1"/>
  <c r="D291" i="5"/>
  <c r="G3" i="4"/>
  <c r="C6" i="4"/>
  <c r="F3" i="4"/>
  <c r="C39" i="2"/>
  <c r="C40" i="2" s="1"/>
  <c r="C61" i="2"/>
  <c r="C295" i="5" l="1"/>
  <c r="D55" i="7"/>
  <c r="H73" i="7"/>
  <c r="D70" i="7"/>
  <c r="D75" i="7"/>
  <c r="G70" i="7" s="1"/>
  <c r="H62" i="7"/>
  <c r="D59" i="7"/>
  <c r="G59" i="7" s="1"/>
  <c r="D54" i="7"/>
  <c r="H54" i="7"/>
  <c r="M231" i="5"/>
  <c r="L238" i="5" s="1"/>
  <c r="D47" i="7"/>
  <c r="D66" i="7" s="1"/>
  <c r="D85" i="7"/>
  <c r="C82" i="7" s="1"/>
  <c r="H41" i="7"/>
  <c r="D102" i="7"/>
  <c r="D32" i="7" s="1"/>
  <c r="G30" i="7" s="1"/>
  <c r="G34" i="7" s="1"/>
  <c r="D101" i="7"/>
  <c r="C97" i="7"/>
  <c r="H33" i="7"/>
  <c r="E22" i="7"/>
  <c r="E21" i="7"/>
  <c r="D23" i="7"/>
  <c r="D21" i="7"/>
  <c r="D9" i="7"/>
  <c r="D10" i="7"/>
  <c r="G10" i="7" s="1"/>
  <c r="F21" i="7"/>
  <c r="D18" i="7"/>
  <c r="E9" i="7"/>
  <c r="D6" i="7"/>
  <c r="D38" i="7"/>
  <c r="G38" i="7" s="1"/>
  <c r="G43" i="7" s="1"/>
  <c r="C83" i="5"/>
  <c r="C88" i="5" s="1"/>
  <c r="D88" i="5" s="1"/>
  <c r="C85" i="5"/>
  <c r="M89" i="5"/>
  <c r="C75" i="5"/>
  <c r="D75" i="5" s="1"/>
  <c r="C63" i="5"/>
  <c r="D63" i="5" s="1"/>
  <c r="B185" i="5"/>
  <c r="B186" i="5" s="1"/>
  <c r="B187" i="5" s="1"/>
  <c r="B188" i="5" s="1"/>
  <c r="B189" i="5" s="1"/>
  <c r="B190" i="5" s="1"/>
  <c r="B191" i="5" s="1"/>
  <c r="B192" i="5" s="1"/>
  <c r="B193" i="5" s="1"/>
  <c r="L189" i="5"/>
  <c r="C183" i="5"/>
  <c r="D183" i="5" s="1"/>
  <c r="B162" i="5"/>
  <c r="B163" i="5" s="1"/>
  <c r="M161" i="5"/>
  <c r="L166" i="5" s="1"/>
  <c r="C160" i="5"/>
  <c r="D160" i="5" s="1"/>
  <c r="B138" i="5"/>
  <c r="B139" i="5" s="1"/>
  <c r="C136" i="5"/>
  <c r="D136" i="5" s="1"/>
  <c r="M137" i="5"/>
  <c r="L142" i="5" s="1"/>
  <c r="B94" i="5"/>
  <c r="B95" i="5" s="1"/>
  <c r="B89" i="5"/>
  <c r="B90" i="5" s="1"/>
  <c r="B91" i="5" s="1"/>
  <c r="B92" i="5" s="1"/>
  <c r="C185" i="2"/>
  <c r="C184" i="2"/>
  <c r="C183" i="2"/>
  <c r="C187" i="2" s="1"/>
  <c r="D185" i="2"/>
  <c r="D184" i="2"/>
  <c r="D183" i="2"/>
  <c r="D187" i="2" s="1"/>
  <c r="D182" i="2"/>
  <c r="D188" i="2" s="1"/>
  <c r="M40" i="5"/>
  <c r="L46" i="5" s="1"/>
  <c r="M46" i="5" s="1"/>
  <c r="M17" i="5"/>
  <c r="C21" i="5"/>
  <c r="B17" i="5"/>
  <c r="B18" i="5" s="1"/>
  <c r="B19" i="5" s="1"/>
  <c r="B20" i="5" s="1"/>
  <c r="C13" i="5"/>
  <c r="B70" i="5"/>
  <c r="B71" i="5" s="1"/>
  <c r="B72" i="5" s="1"/>
  <c r="B73" i="5" s="1"/>
  <c r="C60" i="5"/>
  <c r="C58" i="5"/>
  <c r="B64" i="5" s="1"/>
  <c r="B42" i="5"/>
  <c r="B43" i="5" s="1"/>
  <c r="B44" i="5" s="1"/>
  <c r="B45" i="5" s="1"/>
  <c r="C40" i="5"/>
  <c r="D40" i="5" s="1"/>
  <c r="D375" i="5"/>
  <c r="C379" i="5"/>
  <c r="C380" i="5" s="1"/>
  <c r="I368" i="5"/>
  <c r="J368" i="5"/>
  <c r="I369" i="5"/>
  <c r="C372" i="5"/>
  <c r="D378" i="5"/>
  <c r="D377" i="5"/>
  <c r="D376" i="5"/>
  <c r="B353" i="5"/>
  <c r="B354" i="5" s="1"/>
  <c r="B355" i="5" s="1"/>
  <c r="B356" i="5" s="1"/>
  <c r="B357" i="5" s="1"/>
  <c r="B358" i="5" s="1"/>
  <c r="B359" i="5" s="1"/>
  <c r="B360" i="5" s="1"/>
  <c r="B361" i="5" s="1"/>
  <c r="L359" i="5"/>
  <c r="C351" i="5"/>
  <c r="D351" i="5" s="1"/>
  <c r="D97" i="2"/>
  <c r="C97" i="2"/>
  <c r="L264" i="5"/>
  <c r="D334" i="5"/>
  <c r="D338" i="5"/>
  <c r="C117" i="2"/>
  <c r="C316" i="5" s="1"/>
  <c r="C119" i="2"/>
  <c r="G96" i="2"/>
  <c r="G95" i="2"/>
  <c r="D114" i="2"/>
  <c r="D113" i="2"/>
  <c r="H95" i="2" s="1"/>
  <c r="D337" i="5"/>
  <c r="D336" i="5"/>
  <c r="D335" i="5"/>
  <c r="L331" i="5"/>
  <c r="C323" i="5"/>
  <c r="D323" i="5" s="1"/>
  <c r="M23" i="4"/>
  <c r="M22" i="4"/>
  <c r="M21" i="4"/>
  <c r="M20" i="4"/>
  <c r="C189" i="2" l="1"/>
  <c r="C196" i="2"/>
  <c r="G73" i="7"/>
  <c r="I73" i="7" s="1"/>
  <c r="D53" i="7"/>
  <c r="G51" i="7" s="1"/>
  <c r="D104" i="7"/>
  <c r="G33" i="7"/>
  <c r="I33" i="7" s="1"/>
  <c r="G9" i="7"/>
  <c r="G23" i="7"/>
  <c r="G22" i="7"/>
  <c r="G21" i="7"/>
  <c r="C190" i="2"/>
  <c r="B164" i="5"/>
  <c r="M189" i="5"/>
  <c r="M166" i="5"/>
  <c r="B140" i="5"/>
  <c r="B141" i="5" s="1"/>
  <c r="M142" i="5"/>
  <c r="B96" i="5"/>
  <c r="L94" i="5"/>
  <c r="N46" i="5"/>
  <c r="L47" i="5" s="1"/>
  <c r="D380" i="5"/>
  <c r="D379" i="5"/>
  <c r="M359" i="5"/>
  <c r="M264" i="5"/>
  <c r="M238" i="5"/>
  <c r="H96" i="2"/>
  <c r="M331" i="5"/>
  <c r="N331" i="5" s="1"/>
  <c r="L332" i="5" s="1"/>
  <c r="D208" i="5" l="1"/>
  <c r="G54" i="7"/>
  <c r="I54" i="7" s="1"/>
  <c r="G55" i="7"/>
  <c r="C193" i="2"/>
  <c r="D194" i="2"/>
  <c r="H9" i="7" s="1"/>
  <c r="I9" i="7" s="1"/>
  <c r="C194" i="2"/>
  <c r="C195" i="2"/>
  <c r="H23" i="7" s="1"/>
  <c r="I23" i="7" s="1"/>
  <c r="D193" i="2"/>
  <c r="N189" i="5"/>
  <c r="D210" i="5" s="1"/>
  <c r="B165" i="5"/>
  <c r="N142" i="5"/>
  <c r="C137" i="5" s="1"/>
  <c r="D137" i="5" s="1"/>
  <c r="N166" i="5"/>
  <c r="C161" i="5" s="1"/>
  <c r="D161" i="5" s="1"/>
  <c r="B142" i="5"/>
  <c r="B143" i="5" s="1"/>
  <c r="B144" i="5" s="1"/>
  <c r="B145" i="5" s="1"/>
  <c r="B146" i="5" s="1"/>
  <c r="B97" i="5"/>
  <c r="M94" i="5"/>
  <c r="C381" i="5"/>
  <c r="C43" i="5"/>
  <c r="C45" i="5"/>
  <c r="C41" i="5"/>
  <c r="C44" i="5"/>
  <c r="C42" i="5"/>
  <c r="B50" i="5"/>
  <c r="N359" i="5"/>
  <c r="C354" i="5" s="1"/>
  <c r="N264" i="5"/>
  <c r="C261" i="5" s="1"/>
  <c r="N238" i="5"/>
  <c r="C235" i="5" s="1"/>
  <c r="D235" i="5" s="1"/>
  <c r="C326" i="5"/>
  <c r="D326" i="5" s="1"/>
  <c r="C327" i="5"/>
  <c r="D327" i="5" s="1"/>
  <c r="C328" i="5"/>
  <c r="D328" i="5" s="1"/>
  <c r="C324" i="5"/>
  <c r="D324" i="5" s="1"/>
  <c r="C325" i="5"/>
  <c r="D325" i="5" s="1"/>
  <c r="C329" i="5"/>
  <c r="D329" i="5" s="1"/>
  <c r="C330" i="5"/>
  <c r="D330" i="5" s="1"/>
  <c r="C331" i="5"/>
  <c r="D331" i="5" s="1"/>
  <c r="C333" i="5"/>
  <c r="D333" i="5" s="1"/>
  <c r="C332" i="5"/>
  <c r="D332" i="5" s="1"/>
  <c r="C234" i="5" l="1"/>
  <c r="D234" i="5" s="1"/>
  <c r="C233" i="5"/>
  <c r="D233" i="5" s="1"/>
  <c r="C232" i="5"/>
  <c r="D232" i="5" s="1"/>
  <c r="C231" i="5"/>
  <c r="D231" i="5" s="1"/>
  <c r="D255" i="5"/>
  <c r="D256" i="5"/>
  <c r="L190" i="5"/>
  <c r="D209" i="5"/>
  <c r="D207" i="5"/>
  <c r="H22" i="7"/>
  <c r="I22" i="7" s="1"/>
  <c r="H10" i="7"/>
  <c r="I10" i="7" s="1"/>
  <c r="M8" i="7" s="1"/>
  <c r="H21" i="7"/>
  <c r="I21" i="7" s="1"/>
  <c r="C138" i="5"/>
  <c r="D138" i="5" s="1"/>
  <c r="C164" i="5"/>
  <c r="D164" i="5" s="1"/>
  <c r="C141" i="5"/>
  <c r="C163" i="5"/>
  <c r="D163" i="5" s="1"/>
  <c r="C186" i="5"/>
  <c r="D186" i="5" s="1"/>
  <c r="C185" i="5"/>
  <c r="D185" i="5" s="1"/>
  <c r="C188" i="5"/>
  <c r="C187" i="5"/>
  <c r="D187" i="5" s="1"/>
  <c r="C184" i="5"/>
  <c r="D184" i="5" s="1"/>
  <c r="L167" i="5"/>
  <c r="C162" i="5"/>
  <c r="D162" i="5" s="1"/>
  <c r="B166" i="5"/>
  <c r="B167" i="5" s="1"/>
  <c r="B168" i="5" s="1"/>
  <c r="B169" i="5" s="1"/>
  <c r="B170" i="5" s="1"/>
  <c r="C165" i="5"/>
  <c r="C139" i="5"/>
  <c r="D139" i="5" s="1"/>
  <c r="L143" i="5"/>
  <c r="C140" i="5"/>
  <c r="D140" i="5" s="1"/>
  <c r="B98" i="5"/>
  <c r="N94" i="5"/>
  <c r="C92" i="5" s="1"/>
  <c r="C46" i="5"/>
  <c r="C47" i="5" s="1"/>
  <c r="C48" i="5" s="1"/>
  <c r="C49" i="5" s="1"/>
  <c r="C50" i="5" s="1"/>
  <c r="D50" i="5" s="1"/>
  <c r="C357" i="5"/>
  <c r="C355" i="5"/>
  <c r="D355" i="5" s="1"/>
  <c r="C360" i="5"/>
  <c r="C356" i="5"/>
  <c r="D356" i="5" s="1"/>
  <c r="C361" i="5"/>
  <c r="C362" i="5" s="1"/>
  <c r="C358" i="5"/>
  <c r="L360" i="5"/>
  <c r="C353" i="5"/>
  <c r="D353" i="5" s="1"/>
  <c r="C359" i="5"/>
  <c r="C352" i="5"/>
  <c r="D352" i="5" s="1"/>
  <c r="D354" i="5"/>
  <c r="L265" i="5"/>
  <c r="L239" i="5"/>
  <c r="C339" i="5"/>
  <c r="C243" i="5" l="1"/>
  <c r="C189" i="5"/>
  <c r="C190" i="5" s="1"/>
  <c r="C191" i="5" s="1"/>
  <c r="C192" i="5" s="1"/>
  <c r="C193" i="5" s="1"/>
  <c r="D211" i="5"/>
  <c r="D113" i="5"/>
  <c r="D115" i="5"/>
  <c r="D114" i="5"/>
  <c r="D117" i="5"/>
  <c r="D116" i="5"/>
  <c r="D260" i="5"/>
  <c r="C90" i="5"/>
  <c r="C89" i="5"/>
  <c r="C91" i="5"/>
  <c r="C93" i="5"/>
  <c r="C94" i="5" s="1"/>
  <c r="M20" i="7"/>
  <c r="D188" i="5"/>
  <c r="C142" i="5"/>
  <c r="C143" i="5" s="1"/>
  <c r="C144" i="5" s="1"/>
  <c r="C145" i="5" s="1"/>
  <c r="C146" i="5" s="1"/>
  <c r="D165" i="5"/>
  <c r="C166" i="5"/>
  <c r="D141" i="5"/>
  <c r="L95" i="5"/>
  <c r="D48" i="5"/>
  <c r="D49" i="5"/>
  <c r="D357" i="5"/>
  <c r="D258" i="5"/>
  <c r="D257" i="5"/>
  <c r="D259" i="5"/>
  <c r="D261" i="5"/>
  <c r="L22" i="5"/>
  <c r="C16" i="5"/>
  <c r="D16" i="5" s="1"/>
  <c r="H93" i="1"/>
  <c r="G83" i="2"/>
  <c r="C99" i="2"/>
  <c r="C95" i="2"/>
  <c r="C98" i="2" s="1"/>
  <c r="C103" i="2" s="1"/>
  <c r="I82" i="2"/>
  <c r="H82" i="2"/>
  <c r="G82" i="2"/>
  <c r="F12" i="1"/>
  <c r="E47" i="1"/>
  <c r="E49" i="1"/>
  <c r="E48" i="1"/>
  <c r="C10" i="2"/>
  <c r="F9" i="1" s="1"/>
  <c r="C239" i="2"/>
  <c r="C231" i="2"/>
  <c r="C232" i="2"/>
  <c r="M53" i="4"/>
  <c r="M52" i="4"/>
  <c r="O46" i="4"/>
  <c r="O45" i="4"/>
  <c r="M25" i="4"/>
  <c r="I82" i="1" s="1"/>
  <c r="M29" i="4"/>
  <c r="M31" i="4"/>
  <c r="M24" i="4"/>
  <c r="H82" i="1" s="1"/>
  <c r="O15" i="4"/>
  <c r="O13" i="4"/>
  <c r="O12" i="4"/>
  <c r="O11" i="4"/>
  <c r="O10" i="4"/>
  <c r="C65" i="4"/>
  <c r="C64" i="4"/>
  <c r="B63" i="4"/>
  <c r="F60" i="4"/>
  <c r="E60" i="4"/>
  <c r="D60" i="4"/>
  <c r="C60" i="4"/>
  <c r="E56" i="4"/>
  <c r="D56" i="4"/>
  <c r="C21" i="4" s="1"/>
  <c r="C56" i="4"/>
  <c r="C20" i="4" s="1"/>
  <c r="E54" i="4"/>
  <c r="D54" i="4"/>
  <c r="C54" i="4"/>
  <c r="E52" i="4"/>
  <c r="D52" i="4"/>
  <c r="C52" i="4"/>
  <c r="E49" i="4"/>
  <c r="D49" i="4"/>
  <c r="C49" i="4"/>
  <c r="E43" i="4"/>
  <c r="E42" i="4"/>
  <c r="E41" i="4"/>
  <c r="E40" i="4"/>
  <c r="E39" i="4"/>
  <c r="D27" i="4"/>
  <c r="C27" i="4"/>
  <c r="D26" i="4"/>
  <c r="D28" i="4" s="1"/>
  <c r="C26" i="4"/>
  <c r="I17" i="4"/>
  <c r="J18" i="4" s="1"/>
  <c r="G12" i="4"/>
  <c r="F16" i="4" l="1"/>
  <c r="D212" i="5"/>
  <c r="D99" i="2"/>
  <c r="H92" i="1"/>
  <c r="C101" i="2"/>
  <c r="C102" i="2"/>
  <c r="C104" i="2" s="1"/>
  <c r="C105" i="2" s="1"/>
  <c r="C95" i="5"/>
  <c r="D95" i="5" s="1"/>
  <c r="D93" i="5"/>
  <c r="D142" i="5"/>
  <c r="D143" i="5"/>
  <c r="D189" i="5"/>
  <c r="C167" i="5"/>
  <c r="D166" i="5"/>
  <c r="D144" i="5"/>
  <c r="D92" i="5"/>
  <c r="D94" i="5"/>
  <c r="D358" i="5"/>
  <c r="C96" i="2"/>
  <c r="H88" i="1"/>
  <c r="C267" i="5"/>
  <c r="D262" i="5"/>
  <c r="C16" i="4"/>
  <c r="C17" i="4" s="1"/>
  <c r="D11" i="4" s="1"/>
  <c r="C39" i="4"/>
  <c r="C40" i="4"/>
  <c r="D95" i="2"/>
  <c r="D98" i="2" s="1"/>
  <c r="H91" i="1"/>
  <c r="M22" i="5"/>
  <c r="E118" i="1"/>
  <c r="E125" i="1" s="1"/>
  <c r="D65" i="4"/>
  <c r="M26" i="4"/>
  <c r="M27" i="4"/>
  <c r="M28" i="4"/>
  <c r="O22" i="4"/>
  <c r="M30" i="4"/>
  <c r="M35" i="4" s="1"/>
  <c r="D29" i="4"/>
  <c r="C29" i="4"/>
  <c r="C28" i="4"/>
  <c r="C41" i="4" s="1"/>
  <c r="D31" i="2"/>
  <c r="D30" i="2"/>
  <c r="D29" i="2"/>
  <c r="M138" i="1"/>
  <c r="M139" i="1" s="1"/>
  <c r="M140" i="1" s="1"/>
  <c r="M141" i="1" s="1"/>
  <c r="M142" i="1" s="1"/>
  <c r="M143" i="1" s="1"/>
  <c r="M144" i="1" s="1"/>
  <c r="M145" i="1" s="1"/>
  <c r="Q137" i="1"/>
  <c r="Q138" i="1" s="1"/>
  <c r="Q139" i="1" s="1"/>
  <c r="Q140" i="1" s="1"/>
  <c r="Q141" i="1" s="1"/>
  <c r="Q142" i="1" s="1"/>
  <c r="Q143" i="1" s="1"/>
  <c r="Q144" i="1" s="1"/>
  <c r="V132" i="1"/>
  <c r="V133" i="1" s="1"/>
  <c r="V134" i="1" s="1"/>
  <c r="S127" i="1"/>
  <c r="S128" i="1" s="1"/>
  <c r="S129" i="1" s="1"/>
  <c r="S130" i="1" s="1"/>
  <c r="S131" i="1" s="1"/>
  <c r="S132" i="1" s="1"/>
  <c r="S133" i="1" s="1"/>
  <c r="S134" i="1" s="1"/>
  <c r="W126" i="1"/>
  <c r="W127" i="1" s="1"/>
  <c r="W128" i="1" s="1"/>
  <c r="W129" i="1" s="1"/>
  <c r="W130" i="1" s="1"/>
  <c r="W131" i="1" s="1"/>
  <c r="W132" i="1" s="1"/>
  <c r="W133" i="1" s="1"/>
  <c r="D78" i="2"/>
  <c r="D77" i="2"/>
  <c r="C80" i="2"/>
  <c r="C79" i="2"/>
  <c r="H80" i="1" s="1"/>
  <c r="G167" i="2"/>
  <c r="D213" i="5" l="1"/>
  <c r="C96" i="5"/>
  <c r="D96" i="5" s="1"/>
  <c r="E104" i="2"/>
  <c r="C106" i="2"/>
  <c r="D102" i="2"/>
  <c r="I92" i="1"/>
  <c r="D190" i="5"/>
  <c r="D145" i="5"/>
  <c r="D167" i="5"/>
  <c r="C168" i="5"/>
  <c r="D91" i="5"/>
  <c r="D42" i="5"/>
  <c r="D46" i="5"/>
  <c r="D359" i="5"/>
  <c r="D96" i="2"/>
  <c r="H89" i="1"/>
  <c r="H90" i="1" s="1"/>
  <c r="D263" i="5"/>
  <c r="N22" i="5"/>
  <c r="E11" i="4"/>
  <c r="E13" i="4" s="1"/>
  <c r="C42" i="4"/>
  <c r="D13" i="4"/>
  <c r="D10" i="4"/>
  <c r="E10" i="4"/>
  <c r="E12" i="4" s="1"/>
  <c r="C81" i="2"/>
  <c r="I163" i="2"/>
  <c r="I162" i="2"/>
  <c r="I158" i="2"/>
  <c r="I160" i="2"/>
  <c r="H156" i="2"/>
  <c r="H157" i="2"/>
  <c r="I157" i="2" s="1"/>
  <c r="H159" i="2"/>
  <c r="I159" i="2" s="1"/>
  <c r="C128" i="2"/>
  <c r="I79" i="1" s="1"/>
  <c r="D71" i="2"/>
  <c r="D45" i="2" s="1"/>
  <c r="D70" i="2"/>
  <c r="E100" i="1"/>
  <c r="H78" i="1"/>
  <c r="H55" i="1"/>
  <c r="G97" i="2"/>
  <c r="C115" i="2" s="1"/>
  <c r="C116" i="2" s="1"/>
  <c r="C317" i="5" s="1"/>
  <c r="C126" i="2"/>
  <c r="C127" i="2"/>
  <c r="H79" i="1"/>
  <c r="C125" i="2"/>
  <c r="G20" i="2"/>
  <c r="E46" i="1"/>
  <c r="E139" i="1"/>
  <c r="E138" i="1"/>
  <c r="M169" i="2"/>
  <c r="M170" i="2"/>
  <c r="M171" i="2"/>
  <c r="M172" i="2"/>
  <c r="M173" i="2"/>
  <c r="M174" i="2"/>
  <c r="M155" i="2"/>
  <c r="M156" i="2"/>
  <c r="M157" i="2"/>
  <c r="M158" i="2"/>
  <c r="M159" i="2"/>
  <c r="M160" i="2"/>
  <c r="M161" i="2"/>
  <c r="M162" i="2"/>
  <c r="M163" i="2"/>
  <c r="M164" i="2"/>
  <c r="M165" i="2"/>
  <c r="M166" i="2"/>
  <c r="M167" i="2"/>
  <c r="M168" i="2"/>
  <c r="F8" i="1"/>
  <c r="C15" i="2"/>
  <c r="C18" i="2" s="1"/>
  <c r="J11" i="2"/>
  <c r="J10" i="2"/>
  <c r="G12" i="2"/>
  <c r="H12" i="2"/>
  <c r="I12" i="2"/>
  <c r="F12" i="2"/>
  <c r="D214" i="5" l="1"/>
  <c r="D146" i="2"/>
  <c r="D145" i="2"/>
  <c r="C97" i="5"/>
  <c r="C98" i="5" s="1"/>
  <c r="D85" i="2"/>
  <c r="D86" i="2"/>
  <c r="D161" i="2"/>
  <c r="D104" i="2"/>
  <c r="D103" i="2"/>
  <c r="D101" i="2"/>
  <c r="D37" i="2"/>
  <c r="D39" i="2" s="1"/>
  <c r="D40" i="2" s="1"/>
  <c r="D160" i="2"/>
  <c r="I88" i="1"/>
  <c r="D146" i="5"/>
  <c r="C147" i="5"/>
  <c r="D147" i="5" s="1"/>
  <c r="D191" i="5"/>
  <c r="C169" i="5"/>
  <c r="D168" i="5"/>
  <c r="D90" i="5"/>
  <c r="D89" i="5"/>
  <c r="D117" i="2"/>
  <c r="D316" i="5" s="1"/>
  <c r="D44" i="5"/>
  <c r="D47" i="5"/>
  <c r="D45" i="5"/>
  <c r="D41" i="5"/>
  <c r="D43" i="5"/>
  <c r="D360" i="5"/>
  <c r="D264" i="5"/>
  <c r="D21" i="5"/>
  <c r="C20" i="5"/>
  <c r="C22" i="5" s="1"/>
  <c r="C18" i="5"/>
  <c r="D18" i="5" s="1"/>
  <c r="C17" i="5"/>
  <c r="I93" i="1"/>
  <c r="I91" i="1"/>
  <c r="L23" i="5"/>
  <c r="C19" i="5"/>
  <c r="D19" i="5" s="1"/>
  <c r="N169" i="2"/>
  <c r="D231" i="2"/>
  <c r="D232" i="2"/>
  <c r="C242" i="2" s="1"/>
  <c r="D75" i="2"/>
  <c r="O23" i="4"/>
  <c r="I81" i="1" s="1"/>
  <c r="H11" i="4"/>
  <c r="F27" i="4"/>
  <c r="D40" i="4" s="1"/>
  <c r="H10" i="4"/>
  <c r="D12" i="4"/>
  <c r="F26" i="4"/>
  <c r="H13" i="4"/>
  <c r="F29" i="4"/>
  <c r="H97" i="2"/>
  <c r="D115" i="2" s="1"/>
  <c r="D116" i="2" s="1"/>
  <c r="D317" i="5" s="1"/>
  <c r="C163" i="2"/>
  <c r="D80" i="2"/>
  <c r="D79" i="2"/>
  <c r="I80" i="1" s="1"/>
  <c r="C212" i="2"/>
  <c r="I156" i="2"/>
  <c r="C211" i="2" s="1"/>
  <c r="D74" i="2"/>
  <c r="D73" i="2"/>
  <c r="D72" i="2"/>
  <c r="C17" i="2"/>
  <c r="C16" i="2" s="1"/>
  <c r="I55" i="1"/>
  <c r="C130" i="2"/>
  <c r="C129" i="2"/>
  <c r="H81" i="1"/>
  <c r="J12" i="2"/>
  <c r="C7" i="2" s="1"/>
  <c r="C47" i="2" s="1"/>
  <c r="J6" i="2"/>
  <c r="D216" i="5" l="1"/>
  <c r="D215" i="5"/>
  <c r="D87" i="2"/>
  <c r="D97" i="5"/>
  <c r="D105" i="2"/>
  <c r="E5" i="2"/>
  <c r="C5" i="2"/>
  <c r="D17" i="5"/>
  <c r="C27" i="5"/>
  <c r="D27" i="5" s="1"/>
  <c r="C108" i="2"/>
  <c r="D106" i="2"/>
  <c r="C148" i="5"/>
  <c r="C99" i="5"/>
  <c r="D99" i="5" s="1"/>
  <c r="D98" i="5"/>
  <c r="E42" i="2"/>
  <c r="I89" i="1"/>
  <c r="I90" i="1" s="1"/>
  <c r="D193" i="5"/>
  <c r="D192" i="5"/>
  <c r="D169" i="5"/>
  <c r="C170" i="5"/>
  <c r="D170" i="5" s="1"/>
  <c r="D20" i="5"/>
  <c r="C51" i="5"/>
  <c r="D361" i="5"/>
  <c r="D265" i="5"/>
  <c r="D242" i="2"/>
  <c r="C244" i="2" s="1"/>
  <c r="E242" i="2"/>
  <c r="C237" i="2"/>
  <c r="C238" i="2"/>
  <c r="E27" i="4"/>
  <c r="G27" i="4" s="1"/>
  <c r="D39" i="4"/>
  <c r="E26" i="4"/>
  <c r="F28" i="4"/>
  <c r="H12" i="4"/>
  <c r="D42" i="4"/>
  <c r="E29" i="4"/>
  <c r="C164" i="2"/>
  <c r="D81" i="2"/>
  <c r="I78" i="1"/>
  <c r="C213" i="2"/>
  <c r="E99" i="1"/>
  <c r="F7" i="1"/>
  <c r="G21" i="2"/>
  <c r="G13" i="2"/>
  <c r="I13" i="2"/>
  <c r="C23" i="2" s="1"/>
  <c r="F13" i="2"/>
  <c r="H13" i="2"/>
  <c r="C22" i="2" s="1"/>
  <c r="E29" i="1"/>
  <c r="C218" i="5" l="1"/>
  <c r="C100" i="5"/>
  <c r="G19" i="2"/>
  <c r="C171" i="5"/>
  <c r="C194" i="5"/>
  <c r="D362" i="5"/>
  <c r="D266" i="5"/>
  <c r="E119" i="1"/>
  <c r="C165" i="2"/>
  <c r="F40" i="4"/>
  <c r="G40" i="4" s="1"/>
  <c r="E32" i="4"/>
  <c r="D41" i="4"/>
  <c r="E28" i="4"/>
  <c r="F39" i="4"/>
  <c r="G39" i="4" s="1"/>
  <c r="G26" i="4"/>
  <c r="G29" i="4"/>
  <c r="F42" i="4"/>
  <c r="G42" i="4" s="1"/>
  <c r="C24" i="2"/>
  <c r="C4" i="2"/>
  <c r="C65" i="2" s="1"/>
  <c r="F6" i="1"/>
  <c r="C25" i="2"/>
  <c r="E17" i="2" l="1"/>
  <c r="C123" i="5"/>
  <c r="D123" i="5" s="1"/>
  <c r="D59" i="2"/>
  <c r="D61" i="2" s="1"/>
  <c r="C64" i="2" s="1"/>
  <c r="C63" i="2"/>
  <c r="D267" i="5"/>
  <c r="C268" i="5" s="1"/>
  <c r="C167" i="2"/>
  <c r="G28" i="4"/>
  <c r="F41" i="4"/>
  <c r="G41" i="4" s="1"/>
  <c r="G32" i="4"/>
  <c r="F5" i="1"/>
  <c r="G18" i="2"/>
  <c r="C169" i="2" l="1"/>
  <c r="G33" i="4"/>
  <c r="G30" i="4"/>
  <c r="C168" i="2" l="1"/>
  <c r="G35" i="4"/>
  <c r="C363" i="5" l="1"/>
  <c r="H27" i="4"/>
  <c r="H26" i="4"/>
  <c r="H29" i="4"/>
  <c r="H28" i="4"/>
  <c r="H32" i="4"/>
  <c r="H33" i="4" s="1"/>
  <c r="H35" i="4" s="1"/>
  <c r="H30" i="4"/>
  <c r="B65" i="5" l="1"/>
  <c r="B66" i="5" l="1"/>
  <c r="B67" i="5" l="1"/>
  <c r="B68" i="5" l="1"/>
  <c r="D71" i="5" l="1"/>
  <c r="D64" i="5"/>
  <c r="D72" i="5"/>
  <c r="D73" i="5"/>
  <c r="D69" i="5"/>
  <c r="D70" i="5"/>
  <c r="D74" i="5"/>
  <c r="D68" i="5" l="1"/>
  <c r="D67" i="5" l="1"/>
  <c r="D65" i="5" l="1"/>
  <c r="D66" i="5"/>
  <c r="C76" i="5" l="1"/>
  <c r="D87" i="7"/>
  <c r="E80" i="4" s="1"/>
  <c r="G80" i="4" l="1"/>
  <c r="E81" i="4"/>
  <c r="D88" i="7"/>
  <c r="F80" i="4" s="1"/>
  <c r="E51" i="1"/>
  <c r="H80" i="4" l="1"/>
  <c r="F81" i="4"/>
  <c r="E82" i="4"/>
  <c r="G81" i="4"/>
  <c r="E52" i="1"/>
  <c r="F89" i="7"/>
  <c r="E83" i="4" l="1"/>
  <c r="G82" i="4"/>
  <c r="H81" i="4"/>
  <c r="F82" i="4"/>
  <c r="D26" i="5"/>
  <c r="B22" i="5"/>
  <c r="D22" i="5" s="1"/>
  <c r="F83" i="4" l="1"/>
  <c r="H82" i="4"/>
  <c r="G83" i="4"/>
  <c r="E84" i="4"/>
  <c r="G84" i="4" s="1"/>
  <c r="E85" i="4" s="1"/>
  <c r="B23" i="5"/>
  <c r="H83" i="4" l="1"/>
  <c r="F84" i="4"/>
  <c r="H84" i="4" s="1"/>
  <c r="F85" i="4" s="1"/>
  <c r="D23" i="5"/>
  <c r="B24" i="5"/>
  <c r="D24" i="5" l="1"/>
  <c r="B25" i="5"/>
  <c r="D25" i="5" s="1"/>
  <c r="C28" i="5" l="1"/>
  <c r="D118" i="5"/>
  <c r="D119" i="5"/>
  <c r="D122" i="5" l="1"/>
  <c r="D121" i="5"/>
  <c r="D120" i="5"/>
  <c r="C124" i="5" l="1"/>
  <c r="D65" i="7"/>
  <c r="G62" i="7" s="1"/>
  <c r="I62" i="7" s="1"/>
  <c r="D46" i="7"/>
  <c r="G41" i="7" s="1"/>
  <c r="I41" i="7" s="1"/>
  <c r="G66" i="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<sst xmlns="http://schemas.openxmlformats.org/spreadsheetml/2006/main" count="2028" uniqueCount="1029">
  <si>
    <t>Subsystem</t>
  </si>
  <si>
    <t>Variable name</t>
  </si>
  <si>
    <t>Variable type</t>
  </si>
  <si>
    <t>Initial value</t>
  </si>
  <si>
    <t>Value or formula</t>
  </si>
  <si>
    <t>Description</t>
  </si>
  <si>
    <t>Stock</t>
  </si>
  <si>
    <t>Flow</t>
  </si>
  <si>
    <t>Auxiliary</t>
  </si>
  <si>
    <t>Space for motorized traffic</t>
  </si>
  <si>
    <t>Space for cyclists</t>
  </si>
  <si>
    <t>Space for pedestrians</t>
  </si>
  <si>
    <t>Space for car parking</t>
  </si>
  <si>
    <t>Space being converted away from the car</t>
  </si>
  <si>
    <t>Space being converted to the car</t>
  </si>
  <si>
    <t>Distribution of public space</t>
  </si>
  <si>
    <t>Total public space</t>
  </si>
  <si>
    <t>Total private parking</t>
  </si>
  <si>
    <t>Stationnement payant mixte et rotatif (134112 places)</t>
  </si>
  <si>
    <t>Aires de liveraison (9766)</t>
  </si>
  <si>
    <t>Deux-roues (104113 places)</t>
  </si>
  <si>
    <t>Autre</t>
  </si>
  <si>
    <t xml:space="preserve">Autocars </t>
  </si>
  <si>
    <t>Total bike space</t>
  </si>
  <si>
    <t>final estimate</t>
  </si>
  <si>
    <t>Ratios</t>
  </si>
  <si>
    <t>One-way bike lane ratio</t>
  </si>
  <si>
    <t>Two-way bike lane ratio</t>
  </si>
  <si>
    <t>Low-quality bike lane ratio</t>
  </si>
  <si>
    <t>Private parking multiplier</t>
  </si>
  <si>
    <t>1 place voiture = 4 places moto = 8 places velo = 6 places velo/moto mixte</t>
  </si>
  <si>
    <t>ha</t>
  </si>
  <si>
    <t>Residential parking</t>
  </si>
  <si>
    <t>Commercial parking</t>
  </si>
  <si>
    <t>Unit</t>
  </si>
  <si>
    <t>ha/Year</t>
  </si>
  <si>
    <t>Private space for car parking + Space for car parking</t>
  </si>
  <si>
    <t>annual car lanes constructed</t>
  </si>
  <si>
    <t>annual car lanes converted</t>
  </si>
  <si>
    <t>annual car parking constructed</t>
  </si>
  <si>
    <t>annual car parking converted</t>
  </si>
  <si>
    <t>annual space converted for cyclists</t>
  </si>
  <si>
    <t>annual space converted for pedestrians</t>
  </si>
  <si>
    <t xml:space="preserve">annual pedestrian space converted </t>
  </si>
  <si>
    <t>total space for car parking</t>
  </si>
  <si>
    <t>Constant</t>
  </si>
  <si>
    <t>PRIVATE SPACE FOR CAR PARKING PARIS</t>
  </si>
  <si>
    <t>ROAD SPACE CONVERSION DELAY</t>
  </si>
  <si>
    <t>Year</t>
  </si>
  <si>
    <t>SHARE OF LIBERATED SPACE USED FOR CYCLISTS</t>
  </si>
  <si>
    <t>SHARE OF LIBERATED SPACE TAKEN FROM CAR LANES</t>
  </si>
  <si>
    <t>The remainder for pedestrians</t>
  </si>
  <si>
    <t>The remainder from car parking</t>
  </si>
  <si>
    <t>Dmnl</t>
  </si>
  <si>
    <t>Roadspace</t>
  </si>
  <si>
    <t>DAILY CAR TRIPS INTRA</t>
  </si>
  <si>
    <t>DAILY CAR TRIPS INTER</t>
  </si>
  <si>
    <t>AVERAGE CAR TRIP LENGTH INTRA</t>
  </si>
  <si>
    <t>AVERAGE CAR TRIP LENGTH INTER</t>
  </si>
  <si>
    <t>[1] INSEE</t>
  </si>
  <si>
    <t>[1]</t>
  </si>
  <si>
    <t>https://omnil.fr/medias/omnil/fdbd2e66-2ea9-47e6-a3a6-1d5d5de409a3_resultats_egt_h2020.pdf</t>
  </si>
  <si>
    <t>Car and bike ownership</t>
  </si>
  <si>
    <t>Bikes per one thousand inhabitants ring</t>
  </si>
  <si>
    <t>Cars per one thousand inhabitants ring</t>
  </si>
  <si>
    <t>Cars per one thousand inhabitants city</t>
  </si>
  <si>
    <t>Bikes per one thousand inhabitants city</t>
  </si>
  <si>
    <t>cars/mpeople</t>
  </si>
  <si>
    <t>bikes/mpeople</t>
  </si>
  <si>
    <t>Regional traffic by hour of departure</t>
  </si>
  <si>
    <t>trips/Day</t>
  </si>
  <si>
    <t>km/trip</t>
  </si>
  <si>
    <t>https://www.institutparisregion.fr/fileadmin/NewEtudes/Etude_543/170km-rapport-final.pdf</t>
  </si>
  <si>
    <t>Daily car trips Paris-Ring</t>
  </si>
  <si>
    <t>Daily car trips Paris-Paris</t>
  </si>
  <si>
    <t>Number of daily car trips in 2020</t>
  </si>
  <si>
    <t>INSEE</t>
  </si>
  <si>
    <t>Estimated daily distance per liaison</t>
  </si>
  <si>
    <t>Paris-Paris</t>
  </si>
  <si>
    <t>Paris-Ring</t>
  </si>
  <si>
    <t>Occupancy rate</t>
  </si>
  <si>
    <t>pkm</t>
  </si>
  <si>
    <t>pkm/trips</t>
  </si>
  <si>
    <t>pkm/vkm</t>
  </si>
  <si>
    <t>Travel demand and modal split</t>
  </si>
  <si>
    <t>vkm/Day</t>
  </si>
  <si>
    <t>Share of commuting trips per liaison 2020</t>
  </si>
  <si>
    <t>Paris-Paris work commuting</t>
  </si>
  <si>
    <t>Paris-Ring work commuting</t>
  </si>
  <si>
    <t>Total Paris-Paris</t>
  </si>
  <si>
    <t>Total Paris-Ring</t>
  </si>
  <si>
    <t>Time window</t>
  </si>
  <si>
    <t>h</t>
  </si>
  <si>
    <t>peak network density</t>
  </si>
  <si>
    <t>peak hour cars per hour/total car lane length</t>
  </si>
  <si>
    <t>km/Hour</t>
  </si>
  <si>
    <t>m</t>
  </si>
  <si>
    <t>total car lane length</t>
  </si>
  <si>
    <t>FREE FLOW VELOCITY*(1-peak network density/COLLISION DENSITY)</t>
  </si>
  <si>
    <t>cars/(Hour*m)</t>
  </si>
  <si>
    <t>cars/Hour</t>
  </si>
  <si>
    <t>Hour</t>
  </si>
  <si>
    <t>AVERAGE SPEED LIMIT</t>
  </si>
  <si>
    <t>Average speed in rush hour in 2023</t>
  </si>
  <si>
    <t>Congestion reference value 2023</t>
  </si>
  <si>
    <t>https://www.tomtom.com/traffic-index/ranking/?country=FR</t>
  </si>
  <si>
    <t>km/h</t>
  </si>
  <si>
    <t>kc</t>
  </si>
  <si>
    <t>k(peak)</t>
  </si>
  <si>
    <t>cars/(m*Hour)</t>
  </si>
  <si>
    <t>vf</t>
  </si>
  <si>
    <t>v(peak)</t>
  </si>
  <si>
    <t>https://www.paris.fr/pages/generalisation-de-la-vitesse-a-30-km-h-les-parisiens-ont-donne-leur-avis-16967</t>
  </si>
  <si>
    <t>Speed limit in Paris</t>
  </si>
  <si>
    <t>COMMUTING COLLISION DENSITY</t>
  </si>
  <si>
    <t>DEP-92</t>
  </si>
  <si>
    <t>DEP-93</t>
  </si>
  <si>
    <t>DEP-94</t>
  </si>
  <si>
    <t>Paris</t>
  </si>
  <si>
    <t>Berlin</t>
  </si>
  <si>
    <t>Amsterdam</t>
  </si>
  <si>
    <t>Motor traffic</t>
  </si>
  <si>
    <t>Pedestrians</t>
  </si>
  <si>
    <t>Barcelona</t>
  </si>
  <si>
    <t>Exclusive bike lanes</t>
  </si>
  <si>
    <t>Parking</t>
  </si>
  <si>
    <t>relation</t>
  </si>
  <si>
    <t>Flux</t>
  </si>
  <si>
    <t>City to City</t>
  </si>
  <si>
    <t>City to External</t>
  </si>
  <si>
    <t>City to Ring</t>
  </si>
  <si>
    <t>External to City</t>
  </si>
  <si>
    <t>External to Ring</t>
  </si>
  <si>
    <t>Ring to City</t>
  </si>
  <si>
    <t>Ring to External</t>
  </si>
  <si>
    <t>Ring to Ring</t>
  </si>
  <si>
    <t>Commuting flows in  2020</t>
  </si>
  <si>
    <t>Based on https://www.insee.fr/fr/statistiques/7630376#consulter</t>
  </si>
  <si>
    <t>Jobs in Ring:</t>
  </si>
  <si>
    <t>Jobs in City:</t>
  </si>
  <si>
    <t>Employed pop in City</t>
  </si>
  <si>
    <t>Employed pop in Ring</t>
  </si>
  <si>
    <t>City job share attracting External</t>
  </si>
  <si>
    <t>Ring job share attracting External</t>
  </si>
  <si>
    <t>Ring pop share attracted to External</t>
  </si>
  <si>
    <t>City pop share attracted to External</t>
  </si>
  <si>
    <t>Generalizable</t>
  </si>
  <si>
    <t>Working pop working within City and Ring</t>
  </si>
  <si>
    <t>City job share attracting Ring workers</t>
  </si>
  <si>
    <t>Ring job share attracting City workers</t>
  </si>
  <si>
    <t>Job share attracting external workers</t>
  </si>
  <si>
    <t>affects City job share attracting Ring workers</t>
  </si>
  <si>
    <t>affects Ring job share attracting City workers</t>
  </si>
  <si>
    <t>Pi * Pj</t>
  </si>
  <si>
    <t>City-Ring</t>
  </si>
  <si>
    <t>Ring-City</t>
  </si>
  <si>
    <t>External-City</t>
  </si>
  <si>
    <t>Proportionality</t>
  </si>
  <si>
    <t>jobs</t>
  </si>
  <si>
    <t>City-External</t>
  </si>
  <si>
    <t>PT</t>
  </si>
  <si>
    <t>Peak hour congestion</t>
  </si>
  <si>
    <t>Congestion level on 10 point scale</t>
  </si>
  <si>
    <t>Max resistance:</t>
  </si>
  <si>
    <t>Modal splits in 2020</t>
  </si>
  <si>
    <t>car</t>
  </si>
  <si>
    <t>Total</t>
  </si>
  <si>
    <t>Weighed average split</t>
  </si>
  <si>
    <t>bike</t>
  </si>
  <si>
    <t>City-Ring and Ext.</t>
  </si>
  <si>
    <t>walk</t>
  </si>
  <si>
    <t>1 - network flow velocity / AVERAGE SPEED LIMIT</t>
  </si>
  <si>
    <t>PT crowding</t>
  </si>
  <si>
    <t>Share of commutes incoming</t>
  </si>
  <si>
    <t>Car share in long trips:</t>
  </si>
  <si>
    <t>PT share in long trips:</t>
  </si>
  <si>
    <t>Share of City-Ring trips short</t>
  </si>
  <si>
    <t>Trips</t>
  </si>
  <si>
    <t>Share</t>
  </si>
  <si>
    <t>City-City, Ring-City, City-Ring</t>
  </si>
  <si>
    <t>Total long</t>
  </si>
  <si>
    <t>Total short</t>
  </si>
  <si>
    <t>-</t>
  </si>
  <si>
    <t>Imbalance multiplier</t>
  </si>
  <si>
    <t>Car Congestion (0-1)</t>
  </si>
  <si>
    <t>PT Overcrowding (0-1)</t>
  </si>
  <si>
    <t>Relative change in attraction potential</t>
  </si>
  <si>
    <t>From previous step:</t>
  </si>
  <si>
    <t>%</t>
  </si>
  <si>
    <t>Constants</t>
  </si>
  <si>
    <t>Trip generation</t>
  </si>
  <si>
    <t>Computing resistance</t>
  </si>
  <si>
    <t>Calibration</t>
  </si>
  <si>
    <t>Friction</t>
  </si>
  <si>
    <t>Observed Friction</t>
  </si>
  <si>
    <t>Observed Flux</t>
  </si>
  <si>
    <t>error</t>
  </si>
  <si>
    <t>Proportionality multiplier</t>
  </si>
  <si>
    <t>Distance (0-10)</t>
  </si>
  <si>
    <t>PT Irregularity (0-5)</t>
  </si>
  <si>
    <t>Parking shortage (0-5)</t>
  </si>
  <si>
    <t>persons</t>
  </si>
  <si>
    <t>Land area</t>
  </si>
  <si>
    <t>City land area</t>
  </si>
  <si>
    <t>Ring land area</t>
  </si>
  <si>
    <t>Pedestrian space per land area city</t>
  </si>
  <si>
    <t>Population density ring</t>
  </si>
  <si>
    <t>Population density city</t>
  </si>
  <si>
    <t>Pedestrian space per person city</t>
  </si>
  <si>
    <t>km2</t>
  </si>
  <si>
    <t>m2/person</t>
  </si>
  <si>
    <t>Estimated pedestrian space per person ring</t>
  </si>
  <si>
    <t>pedestrian space per person city</t>
  </si>
  <si>
    <t>M2 PER HA</t>
  </si>
  <si>
    <t>m2/persons</t>
  </si>
  <si>
    <t>Lookup</t>
  </si>
  <si>
    <t>Populations and households 2021</t>
  </si>
  <si>
    <t>CAGR=</t>
  </si>
  <si>
    <t>(ending/beginning)^(1/p) - 1</t>
  </si>
  <si>
    <t>city</t>
  </si>
  <si>
    <t>ring</t>
  </si>
  <si>
    <t>beginning (2015)</t>
  </si>
  <si>
    <t>ending (2021)</t>
  </si>
  <si>
    <t>CAGR</t>
  </si>
  <si>
    <t>p (whole years)</t>
  </si>
  <si>
    <t>jobs/persons</t>
  </si>
  <si>
    <t>x</t>
  </si>
  <si>
    <t>DEATH RATE</t>
  </si>
  <si>
    <t>Dmnl/Year</t>
  </si>
  <si>
    <t>Jobs per labor force City</t>
  </si>
  <si>
    <t>Job per labor force in Ring</t>
  </si>
  <si>
    <t>y</t>
  </si>
  <si>
    <t>Outmigration</t>
  </si>
  <si>
    <t>City</t>
  </si>
  <si>
    <t>Ring</t>
  </si>
  <si>
    <t>Immigration</t>
  </si>
  <si>
    <t>Pedestrian space on</t>
  </si>
  <si>
    <t>Home shortage on</t>
  </si>
  <si>
    <t>persons/km2</t>
  </si>
  <si>
    <t>source</t>
  </si>
  <si>
    <t>v(t) = vf * (1-k(t)/kc)</t>
  </si>
  <si>
    <t>v(t)/vf = 1-k(t)/kc</t>
  </si>
  <si>
    <t>kc = k(t)/(1-v(t)/vf)</t>
  </si>
  <si>
    <t>k(c) * (-v(t)/vf+1) = k(t)</t>
  </si>
  <si>
    <t>Bathtub model for commuters in peak hour</t>
  </si>
  <si>
    <t>Compare cities</t>
  </si>
  <si>
    <t>Parking space size</t>
  </si>
  <si>
    <t>Estimated bike space</t>
  </si>
  <si>
    <t>"places immeubliaire"</t>
  </si>
  <si>
    <t xml:space="preserve"> "places dans parcs concedes"</t>
  </si>
  <si>
    <t>Source: APUR</t>
  </si>
  <si>
    <t>Estimated on-street parking space</t>
  </si>
  <si>
    <t>Data per DEP in ring</t>
  </si>
  <si>
    <t>Population</t>
  </si>
  <si>
    <t>Households</t>
  </si>
  <si>
    <t>Birth rate</t>
  </si>
  <si>
    <t>Death rate</t>
  </si>
  <si>
    <t>Household size</t>
  </si>
  <si>
    <t>Source demographics</t>
  </si>
  <si>
    <t>Source land area</t>
  </si>
  <si>
    <t>Household disp income</t>
  </si>
  <si>
    <t>Modelled distances</t>
  </si>
  <si>
    <t>km</t>
  </si>
  <si>
    <t>Metro lines in 2023</t>
  </si>
  <si>
    <t>Total seat capacity per direction Paris metro system</t>
  </si>
  <si>
    <t>Model</t>
  </si>
  <si>
    <t>Capacity</t>
  </si>
  <si>
    <t>MP 73</t>
  </si>
  <si>
    <t>MP 89</t>
  </si>
  <si>
    <t>MP 05</t>
  </si>
  <si>
    <t>MP 14</t>
  </si>
  <si>
    <t>MF 67</t>
  </si>
  <si>
    <t>MF 77</t>
  </si>
  <si>
    <t>MF 88</t>
  </si>
  <si>
    <t>MF 01</t>
  </si>
  <si>
    <t>Trains in service</t>
  </si>
  <si>
    <t>Seats</t>
  </si>
  <si>
    <t>Seat capacity</t>
  </si>
  <si>
    <t>https://omni.wikiwand.com/fr/articles/Mat%C3%A9riel_roulant_du_m%C3%A9tro_de_Paris#Parc_actuel</t>
  </si>
  <si>
    <t>?</t>
  </si>
  <si>
    <t>Share of PT trips for commuting</t>
  </si>
  <si>
    <t>https://citytransit.uitp.org/paris</t>
  </si>
  <si>
    <t>Peak hourly check-ins PT 2019</t>
  </si>
  <si>
    <t>https://www.institutparisregion.fr/mobilite-et-transports/deplacements/tableau-de-bord-de-la-mobilite-en-ile-de-france/</t>
  </si>
  <si>
    <t>Peak time average headway metro &amp; RER</t>
  </si>
  <si>
    <t>Metro weighted average seats</t>
  </si>
  <si>
    <t>Metro weighted average capacity</t>
  </si>
  <si>
    <t>Where 0-1 is no crowding, and 1-2 is crowding</t>
  </si>
  <si>
    <t>Overcrowding reference values 2019 / 2023</t>
  </si>
  <si>
    <t>Source: insee tables,  wiki, lemonde/citytransit</t>
  </si>
  <si>
    <t>insee</t>
  </si>
  <si>
    <t xml:space="preserve">Set maximum capacity kmax = kref/cref * cmax </t>
  </si>
  <si>
    <t>kmax</t>
  </si>
  <si>
    <t>Standing capacity</t>
  </si>
  <si>
    <t>https://www.apur.org/sites/default/files/migrations_residentielles.pdf?token=70JnEg46</t>
  </si>
  <si>
    <t>Source migration</t>
  </si>
  <si>
    <t>Arrivals</t>
  </si>
  <si>
    <t>Departures</t>
  </si>
  <si>
    <t>Median household disposable income</t>
  </si>
  <si>
    <t>Immigration rate</t>
  </si>
  <si>
    <t>Outmigration rate</t>
  </si>
  <si>
    <t>Net migration rate</t>
  </si>
  <si>
    <t>Overall</t>
  </si>
  <si>
    <t>Pedestrian space</t>
  </si>
  <si>
    <t>Obs</t>
  </si>
  <si>
    <t>Norm</t>
  </si>
  <si>
    <t>Road network length</t>
  </si>
  <si>
    <t>page 96 of Heran</t>
  </si>
  <si>
    <t>Length of communal road network</t>
  </si>
  <si>
    <t>Length of departmental road network</t>
  </si>
  <si>
    <t>Length of national road network</t>
  </si>
  <si>
    <t>Bank Holidays</t>
  </si>
  <si>
    <t>Leave Days</t>
  </si>
  <si>
    <t>Annual subscription</t>
  </si>
  <si>
    <t>Cost per PT trip</t>
  </si>
  <si>
    <t xml:space="preserve">Max commuting trips </t>
  </si>
  <si>
    <t>Average remote days (1 in 5)</t>
  </si>
  <si>
    <t>https://www.lefigaro.fr/conjoncture/ile-de-france-ponctualite-frequentation-comment-se-situe-votre-ligne-de-rer-20231019</t>
  </si>
  <si>
    <t>https://www.liberation.fr/checknews/2018/02/20/a-quelle-vitesse-roulent-les-rer_1653188/</t>
  </si>
  <si>
    <t>Total city-ring relations</t>
  </si>
  <si>
    <t>Total city-external relations</t>
  </si>
  <si>
    <t>Long distance travel</t>
  </si>
  <si>
    <t>REFERENCE RADIAL JOBS IMBALANCE</t>
  </si>
  <si>
    <t>radial jobs imbalance</t>
  </si>
  <si>
    <t>JOBS PER LABOUR FORCE CITY / JOBS PER LABOUR FORCE RING</t>
  </si>
  <si>
    <t>effect of jobs imbalance on intercity trips</t>
  </si>
  <si>
    <t>Daily trips per liaison in 2020</t>
  </si>
  <si>
    <t>trips/day</t>
  </si>
  <si>
    <t>LONG DISTANCE TRIPS PER INTERCITY TRIP</t>
  </si>
  <si>
    <t>REFERENCE DAILY INTERCITY TRIPS PER PERSON</t>
  </si>
  <si>
    <t>Total population Paris and Ring</t>
  </si>
  <si>
    <t>trips/(persons*day)</t>
  </si>
  <si>
    <t>Urban trips per capita</t>
  </si>
  <si>
    <t>Long distance</t>
  </si>
  <si>
    <t>Mid distance</t>
  </si>
  <si>
    <t>Car ownership in 2017</t>
  </si>
  <si>
    <t>Cars</t>
  </si>
  <si>
    <t>Grand Paris</t>
  </si>
  <si>
    <t>Fraction population &lt;20</t>
  </si>
  <si>
    <t>Fraction population 20-30</t>
  </si>
  <si>
    <t>Fraction population &gt;30</t>
  </si>
  <si>
    <t>Cars per household</t>
  </si>
  <si>
    <t>Estimated mature car owning hh fraction</t>
  </si>
  <si>
    <t>Estimated cars per mature car owning hh</t>
  </si>
  <si>
    <t>car owning</t>
  </si>
  <si>
    <t>non car owning</t>
  </si>
  <si>
    <t>Estimated young hh fraction</t>
  </si>
  <si>
    <t>Estimated  households</t>
  </si>
  <si>
    <t>young</t>
  </si>
  <si>
    <t>Remainder when subtracting land area</t>
  </si>
  <si>
    <t>Greenfield and built up space</t>
  </si>
  <si>
    <t>INTEG(annual space converted for cyclists)</t>
  </si>
  <si>
    <t>INTEG(annual car lanes constructed-annual car lanes converted)</t>
  </si>
  <si>
    <t>INTEG(annual car parking constructed-annual car parking converted)</t>
  </si>
  <si>
    <t>INTEG(annual space converted for pedestrians-annual pedestrian )space converted</t>
  </si>
  <si>
    <t>INTEG(-annual greenfield and built up space converted to car space)</t>
  </si>
  <si>
    <t>parking supply city</t>
  </si>
  <si>
    <t>INTEG(annual pedestrian space converted+annual greenfield or built up space converted for roads-annual car parking constructed
-annual car lanes constructed)</t>
  </si>
  <si>
    <t>INTEG(annual car lanes converted+annual car parking converted-annual space converted for cyclists-annual space converted for pedestrians)</t>
  </si>
  <si>
    <t>ANNUAL SPACE REALLOCATION PROPOSED*SHARE OF LIBERATED SPACE TAKEN FROM CAR LANES</t>
  </si>
  <si>
    <t>ANNUAL SPACE REALLOCATION PROPOSED*(1-SHARE OF LIBERATED SPACE TAKEN FROM CAR LANES)</t>
  </si>
  <si>
    <t>((1-SHARE OF LIBERATED SPACE USED FOR CYCLISTS)*Space being converted away from the car)/ROAD SPACE CONVERSION TIME</t>
  </si>
  <si>
    <t>(SHARE OF LIBERATED SPACE USED FOR CYCLISTS*Space being converted away from the car)/ROAD SPACE CONVERSION TIME</t>
  </si>
  <si>
    <t>total space for car parking/PARKING SPOT AREA</t>
  </si>
  <si>
    <t>PARKING SPOT AREA</t>
  </si>
  <si>
    <t>ha/spots</t>
  </si>
  <si>
    <t>spots</t>
  </si>
  <si>
    <t>Affects car attractiveness</t>
  </si>
  <si>
    <t>Congestion and overcrowding</t>
  </si>
  <si>
    <t>peak network flow velocity</t>
  </si>
  <si>
    <t>peak congestion relative to speed limit</t>
  </si>
  <si>
    <t xml:space="preserve">Space for motorized traffic * M2 PER HA / LANE WIDTH </t>
  </si>
  <si>
    <t>peak cars per hour</t>
  </si>
  <si>
    <t>daily long car trips+daily mid car trips</t>
  </si>
  <si>
    <t>overcrowding multiplier</t>
  </si>
  <si>
    <t>Quadratic, based on MARS model. Affects PT attractiveness</t>
  </si>
  <si>
    <t>overcrowding level*overcrowding level</t>
  </si>
  <si>
    <t>overcrowding level</t>
  </si>
  <si>
    <t>IF THEN ELSE(peak PT riders per hour&lt;SEAT CAPACITY, 1, 1+(peak PT riders per hour-SEAT CAPACITY)/STANDING CAPACITY)</t>
  </si>
  <si>
    <t>Starts to increase when seat capacity is exceeded and reaches maximum when standing capacity is reached</t>
  </si>
  <si>
    <t>peak PT riders per hour</t>
  </si>
  <si>
    <t>Estimated fraction of trips in peak hour</t>
  </si>
  <si>
    <t>daily PT trips</t>
  </si>
  <si>
    <t>COLLISION DENSITY</t>
  </si>
  <si>
    <t>SHARE OF TRIPS OCCURRING IN PEAK TIME*latest daily car trips/CAR OCCUPANCY RATE/PEAK TIME WINDOW</t>
  </si>
  <si>
    <t>SHARE OF TRIPS OCCURRING IN PEAK TIME*daily PT trips/PEAK TIME WINDOW*PERSONS PER TRIP</t>
  </si>
  <si>
    <t>daily long PT trips+daily mid PT trips</t>
  </si>
  <si>
    <t>m2/ha</t>
  </si>
  <si>
    <t>SHARE OF TRIPS OCCURRING IN PEAK TIME</t>
  </si>
  <si>
    <t>CAR OCCUPANCY RATE</t>
  </si>
  <si>
    <t>PEAK TIME WINDOW</t>
  </si>
  <si>
    <t>PERSONS PER TRIP</t>
  </si>
  <si>
    <t>SEAT CAPACITY</t>
  </si>
  <si>
    <t>STANDING CAPACITY</t>
  </si>
  <si>
    <t>Car occupancy rate greater Paris</t>
  </si>
  <si>
    <t>trips/cars</t>
  </si>
  <si>
    <t>persons/trips</t>
  </si>
  <si>
    <t>persons/Hour</t>
  </si>
  <si>
    <t>Peak time window</t>
  </si>
  <si>
    <t>hours</t>
  </si>
  <si>
    <t>daily car trips</t>
  </si>
  <si>
    <t>Population - subscripted</t>
  </si>
  <si>
    <t>*</t>
  </si>
  <si>
    <t>annual births+annual immigration-annual deaths-annual outmigration</t>
  </si>
  <si>
    <t>BIRTH RATE * Population</t>
  </si>
  <si>
    <t>persons/Year</t>
  </si>
  <si>
    <t>annual births</t>
  </si>
  <si>
    <t>annual deaths</t>
  </si>
  <si>
    <t>annual outmigration</t>
  </si>
  <si>
    <t>DEATH RATE * Population</t>
  </si>
  <si>
    <t>Homes</t>
  </si>
  <si>
    <t>Homes under construction</t>
  </si>
  <si>
    <t>annual immigration</t>
  </si>
  <si>
    <t>homes</t>
  </si>
  <si>
    <t>homes/Year</t>
  </si>
  <si>
    <t>home construction</t>
  </si>
  <si>
    <t>home completion</t>
  </si>
  <si>
    <t>home demolition</t>
  </si>
  <si>
    <t>real construction rate*Homes</t>
  </si>
  <si>
    <t>Homes under construction/CONSTRUCTION DELAY</t>
  </si>
  <si>
    <t>Homes city/YEARS UNTIL DEMOLISHED</t>
  </si>
  <si>
    <t>BIRTH RATE</t>
  </si>
  <si>
    <t>Space for pedestrians*M2 PER HA/Population city</t>
  </si>
  <si>
    <t>LAND AREA</t>
  </si>
  <si>
    <t>REFERENCE PEDESTRIAN SPACE PER PERSON CITY</t>
  </si>
  <si>
    <t>REFERENCE IMMIGRATION RATE</t>
  </si>
  <si>
    <t>JOBS PER LABOUR FORCE</t>
  </si>
  <si>
    <t>EMPLOYED SHARE OF POPULATION</t>
  </si>
  <si>
    <t>JOBS PER LABOUR FORCE * labour force</t>
  </si>
  <si>
    <t>EMPLOYED SHARE OF POPULATION * Population</t>
  </si>
  <si>
    <t>labour force</t>
  </si>
  <si>
    <t>..</t>
  </si>
  <si>
    <t>outmigration rate * Population</t>
  </si>
  <si>
    <t>immigration rate * Population</t>
  </si>
  <si>
    <t>total population</t>
  </si>
  <si>
    <t>outmigration rate</t>
  </si>
  <si>
    <t>immigration rate</t>
  </si>
  <si>
    <t>Population[CITY] + Population{RING]</t>
  </si>
  <si>
    <t>EFFECT OF PERCEIVED HOME SHORTAGE ON IMMIGRATION(perceived home shortage)*EFFECT OF PEDESTRIAN SPACE CHANGE ON IMMIGRATION(change in pedestrian space per person)*REFERENCE IMMIGRATION RATE</t>
  </si>
  <si>
    <t>IF THEN ELSE(population density&gt;POPULATION DENSITY THRESHOLD FOR OVERCROWDING,EFFECT OF PEDESTRIAN SPACE CHANGE ON OUTMIGRATION(change in pedestrian space per person),1)*REFERENCE OUTMIGRATION RATE</t>
  </si>
  <si>
    <t>MIN(EFFECT OF LAND SATURATION ON CONSTRUCTION RATE(land saturation)*perceived home shortage
/YEAR,MAX CONSTRUCTION RATE)</t>
  </si>
  <si>
    <t>construction rate</t>
  </si>
  <si>
    <t>pedestrian space per person city/REFERENCE PEDESTRIAN SPACE PER PERSON CITY</t>
  </si>
  <si>
    <t>DELAY1I(change in pedestrian space per person city, POLICY TRANSFER DELAY, change in pedestrian space per person city)</t>
  </si>
  <si>
    <t>change in pedestrian space[CITY]</t>
  </si>
  <si>
    <t>change in pedestrian space[RING]</t>
  </si>
  <si>
    <t>CONSTRUCTION DELAY</t>
  </si>
  <si>
    <t>POPULATION DENSITY THRESHOLD FOR OVERCROWDING</t>
  </si>
  <si>
    <t>REFERENCE OUTMIGRATION RATE</t>
  </si>
  <si>
    <t>POLICY TRANSFER DELAY</t>
  </si>
  <si>
    <t>…</t>
  </si>
  <si>
    <t>perceived home shortage</t>
  </si>
  <si>
    <t>homes per household</t>
  </si>
  <si>
    <t>YEARS UNTIL DEMOLISHED</t>
  </si>
  <si>
    <t>land saturation</t>
  </si>
  <si>
    <t>home density</t>
  </si>
  <si>
    <t>MAX(0,1-homes per household/DESIRED HOMES PER HOUSEHOLD)</t>
  </si>
  <si>
    <t>Homes/(Population/HOUSEHOLD SIZE)</t>
  </si>
  <si>
    <t>home density/MAXIMUM HOME DENSITY</t>
  </si>
  <si>
    <t>MAXIMUM HOME DENSITY</t>
  </si>
  <si>
    <t>Homes/LAND AREA</t>
  </si>
  <si>
    <t>homes/ha</t>
  </si>
  <si>
    <t>homes/households</t>
  </si>
  <si>
    <t>HOUSEHOLD SIZE</t>
  </si>
  <si>
    <t>persons/household</t>
  </si>
  <si>
    <t>DESIRED HOMES PER HOUSEHOLD</t>
  </si>
  <si>
    <t>EFFECT OF PEDESTRIAN SPACE CHANGE ON OUTMIGRATION</t>
  </si>
  <si>
    <t>bike lane coverage</t>
  </si>
  <si>
    <t>total length of cycling network</t>
  </si>
  <si>
    <t>total length of cycling network/Total length of road network</t>
  </si>
  <si>
    <t>Space for cyclists*M2 PER HA/LANE WIDTH</t>
  </si>
  <si>
    <t>INTEG(annual road network expansion)</t>
  </si>
  <si>
    <t>Total length of road network</t>
  </si>
  <si>
    <t>annual greenfield and built up space converted to road space*M2 PER HA/LANE WIDTH/AVERAGE LANES PER NEW ROAD CONSTRUCTED</t>
  </si>
  <si>
    <t>annual road network expansion</t>
  </si>
  <si>
    <t>annual greenfield and built up space converted to road space</t>
  </si>
  <si>
    <t>AVERAGE LANES PER NEW ROAD CONSTRUCTED</t>
  </si>
  <si>
    <t>Share of pop &gt;30</t>
  </si>
  <si>
    <t>Share of pop &lt;30</t>
  </si>
  <si>
    <t>Share pop &lt;30</t>
  </si>
  <si>
    <t>Share of households car-owning</t>
  </si>
  <si>
    <t>Share hh. 1+ car</t>
  </si>
  <si>
    <t>Cars per car-owning</t>
  </si>
  <si>
    <t>INITIAL YOUTH</t>
  </si>
  <si>
    <t>HOUSEHOLDS PER ADULT</t>
  </si>
  <si>
    <t>households/persons</t>
  </si>
  <si>
    <t>households</t>
  </si>
  <si>
    <t>INITIAL HOUSEHOLDS</t>
  </si>
  <si>
    <t>INITIAL CAR OWNERSHIP RATIO</t>
  </si>
  <si>
    <t>Type:</t>
  </si>
  <si>
    <t>Variable name:</t>
  </si>
  <si>
    <t>Reference value:</t>
  </si>
  <si>
    <t>Multiplicative</t>
  </si>
  <si>
    <t>Multiplied with:</t>
  </si>
  <si>
    <t>UNINTERRUPTED MID TRIP TRAVEL TIME</t>
  </si>
  <si>
    <t>Minutes</t>
  </si>
  <si>
    <t>At zero point:</t>
  </si>
  <si>
    <t>At reference point:</t>
  </si>
  <si>
    <t>Shape:</t>
  </si>
  <si>
    <t>Bike lane continuity</t>
  </si>
  <si>
    <t>Uncertainty:</t>
  </si>
  <si>
    <t>Point 1</t>
  </si>
  <si>
    <t>Point 2</t>
  </si>
  <si>
    <t>Parabole:</t>
  </si>
  <si>
    <t>a</t>
  </si>
  <si>
    <t>b</t>
  </si>
  <si>
    <t>c</t>
  </si>
  <si>
    <t>Points and slopes:</t>
  </si>
  <si>
    <t>Points</t>
  </si>
  <si>
    <t>Function</t>
  </si>
  <si>
    <t>Array:</t>
  </si>
  <si>
    <t>Jobs imbalance</t>
  </si>
  <si>
    <t>Jobs</t>
  </si>
  <si>
    <t>Labor force</t>
  </si>
  <si>
    <t>At zero point</t>
  </si>
  <si>
    <t>Interurban trips per capita</t>
  </si>
  <si>
    <t>Total trips per capita</t>
  </si>
  <si>
    <t>Maximum self-contention</t>
  </si>
  <si>
    <t>Minimum interurban trips per capita</t>
  </si>
  <si>
    <t>Minimum self-contention</t>
  </si>
  <si>
    <t>Maximum interurban trips per capita</t>
  </si>
  <si>
    <t>(Point 3)</t>
  </si>
  <si>
    <t>At which level of bike lane continuity is the marginal value of an added bike lane the largest?</t>
  </si>
  <si>
    <t>Population &amp; homes</t>
  </si>
  <si>
    <t>Home construction</t>
  </si>
  <si>
    <t>Homes 2015</t>
  </si>
  <si>
    <t>Homes 2021</t>
  </si>
  <si>
    <t>Compound annual growth rate: computing reference construction rate</t>
  </si>
  <si>
    <t>Age and car ownership</t>
  </si>
  <si>
    <t>Maximum construction rate boost</t>
  </si>
  <si>
    <t>https://www.bureauveritas.fr/magazine/le-grand-paris-du-logement-va-generer-70-000-habitations-par</t>
  </si>
  <si>
    <t>(reference construction rate)</t>
  </si>
  <si>
    <t>(assuming construction rate can be boosted by 67%)</t>
  </si>
  <si>
    <t>At 1</t>
  </si>
  <si>
    <t>Reference homes/household</t>
  </si>
  <si>
    <t>EFFECT OF HOME AVAILABILITY ON CONSTRUCTION RATE</t>
  </si>
  <si>
    <t>At 1.3</t>
  </si>
  <si>
    <t>Decreases increasingly, with inflection point at (1,1), after which decreasing decreasingly to flatten at (1.3, 0)</t>
  </si>
  <si>
    <t>Reference net construction rate</t>
  </si>
  <si>
    <t>Construction rate based on 100y lifetime</t>
  </si>
  <si>
    <t>Homes per household (normalized)</t>
  </si>
  <si>
    <t>Effect on construction rate</t>
  </si>
  <si>
    <t>(reference parking search and egress time city)</t>
  </si>
  <si>
    <t>(assuming parking search and egress time in case of zero parking spots is one hour)</t>
  </si>
  <si>
    <t>(reference situation)</t>
  </si>
  <si>
    <t>End point (3, 0.25)</t>
  </si>
  <si>
    <t>Decreases increasingly, with inflection point at (1, 1), then decreases decreasingly until flatting after end point (3, 0.25)</t>
  </si>
  <si>
    <t>City parking spots per car in greater city</t>
  </si>
  <si>
    <t>Parking search and egress time</t>
  </si>
  <si>
    <t>Relatively certain</t>
  </si>
  <si>
    <t>Assumed &lt;20 to &lt;30 ratio</t>
  </si>
  <si>
    <t>INITIAL SETTLED POPULATION</t>
  </si>
  <si>
    <t>INITIAL SETTLING POPULATION</t>
  </si>
  <si>
    <t>YOUTH AGING TIME</t>
  </si>
  <si>
    <t>Additive</t>
  </si>
  <si>
    <t>End point (2)</t>
  </si>
  <si>
    <t xml:space="preserve">Car trips per car </t>
  </si>
  <si>
    <t xml:space="preserve">Car adoption </t>
  </si>
  <si>
    <t>Initial car trips per car</t>
  </si>
  <si>
    <t>Does this reflect residential self selection well and can we assume settled population doesn't abandon cars / this can proxy that?</t>
  </si>
  <si>
    <t>EFFECT OF HOME AVAILABILITY ON IMMIGRATION RATE</t>
  </si>
  <si>
    <t>(current immigration rate)</t>
  </si>
  <si>
    <t>(current homes per household)</t>
  </si>
  <si>
    <t>Increases decreasingly from zero point until flattening at reference level of immigration</t>
  </si>
  <si>
    <t>Homes per household</t>
  </si>
  <si>
    <t>EFFECT OF HOME DENSITY ON CONSTRUCTION RATE</t>
  </si>
  <si>
    <t>(current home density)</t>
  </si>
  <si>
    <t>(current construction rate)</t>
  </si>
  <si>
    <t>At half point</t>
  </si>
  <si>
    <t>At double point</t>
  </si>
  <si>
    <t>(based on difference between city and ring: half the density, 1.5x the construction rate)</t>
  </si>
  <si>
    <t>Construction rate</t>
  </si>
  <si>
    <t>Homes per land area</t>
  </si>
  <si>
    <t>EFFECT OF PARKING SPOTS PER METER ON BIKE SUBJECTIVE TRAVEL TIME</t>
  </si>
  <si>
    <t>(reference parking spots per meter)</t>
  </si>
  <si>
    <t>At max point</t>
  </si>
  <si>
    <t>(assuming subj. value of travel time is currently affected by 10%)</t>
  </si>
  <si>
    <t>At max point (2)</t>
  </si>
  <si>
    <t>Increases increasingly until reference value, then decreasingly to flatten at double the ref value</t>
  </si>
  <si>
    <t>What is the effect size of parking spots per meter on bike subjective travel time?</t>
  </si>
  <si>
    <t>Min point:</t>
  </si>
  <si>
    <t>lanes/road</t>
  </si>
  <si>
    <t>EFFECT OF CAR LANES PER ROAD ON BIKE SUBJECTIVE TRAVEL TIME</t>
  </si>
  <si>
    <t>Car lanes per road</t>
  </si>
  <si>
    <t>What is the maximum effect size of car lanes per road on bike subjective travel time?</t>
  </si>
  <si>
    <t>At max point:</t>
  </si>
  <si>
    <t>Decreases increasingly through (1,0), then decreasingly until flattening at (2.5,-0.5)</t>
  </si>
  <si>
    <t>Added effect on bike subjective travel time</t>
  </si>
  <si>
    <t>(assuming max additive effect on current subj. multiplier is +0.2)</t>
  </si>
  <si>
    <t>(assuming min additive effect on current subj. multiplier is -0.05)</t>
  </si>
  <si>
    <t>(assuming max additive effect on current subj. multiplier is +0.05 and occurs at double current value)</t>
  </si>
  <si>
    <t>(assuming min additive effect on current subj. multiplier is -0.1 and occurs when average road is oneway)</t>
  </si>
  <si>
    <t>(assuming max additive effect on current subj. multiplier is +0.2 and occurs when average road is four-lane)</t>
  </si>
  <si>
    <t>Increases increasingly between average road being oneway and average road being four-lane</t>
  </si>
  <si>
    <t>Increases increasingly from (0,0.8) until inflection point (1, 1) after which increasing decreasingly to flatten at (2,1.2)</t>
  </si>
  <si>
    <t>Private parking space</t>
  </si>
  <si>
    <t>Bike availability</t>
  </si>
  <si>
    <t>Private bikes per 1000 inhabitants</t>
  </si>
  <si>
    <t>Car</t>
  </si>
  <si>
    <t>Motorized</t>
  </si>
  <si>
    <t>Bike</t>
  </si>
  <si>
    <t>Pedestrian</t>
  </si>
  <si>
    <t>Bike and micromobility</t>
  </si>
  <si>
    <t>Paris&lt;&gt;Ring</t>
  </si>
  <si>
    <t>Long trips</t>
  </si>
  <si>
    <t>Paris&lt;&gt;Paris</t>
  </si>
  <si>
    <t>EFFECT OF BIKE LANES PER ROAD ON BIKE SUBJECTIVE TRAVEL TIME</t>
  </si>
  <si>
    <t>(current bike lanes per road)</t>
  </si>
  <si>
    <t>Decreases increasingly until reference point, then decreases decreasingly to flatten at 0.83</t>
  </si>
  <si>
    <t>EFFECT OF BIKE PARKING PER BIKE USER ON CONTACT FRUITFULNESS</t>
  </si>
  <si>
    <t>(current parking per user)</t>
  </si>
  <si>
    <t>(current contact fruitfulness)</t>
  </si>
  <si>
    <t>(assuming 0 word of mouth adoption when zero parking available)</t>
  </si>
  <si>
    <t>(assuming 100% higher word of mouth adoption (so 3%) when bike parking is twice as abundant as today)</t>
  </si>
  <si>
    <t>Increases increasingly until reference point, then increases decreasingly to flatten at 2</t>
  </si>
  <si>
    <t>Efect on bike subjective travel time</t>
  </si>
  <si>
    <t>Bike parking per bike user</t>
  </si>
  <si>
    <t>EFFECT OF BIKE USAGE ON CONTACT FRUITFULNESS</t>
  </si>
  <si>
    <t>trips/persons</t>
  </si>
  <si>
    <t>(current daily bike trips per person with bike access)</t>
  </si>
  <si>
    <t>What is the (current and) maximum level of contact fruitfulness?</t>
  </si>
  <si>
    <t>EFFECT OF SIDEWALK WIDTH ON PT ACCESS EGRESS TIME</t>
  </si>
  <si>
    <t>(reference PT access egress time)</t>
  </si>
  <si>
    <t>m/road</t>
  </si>
  <si>
    <t>(reference sidewalk width)</t>
  </si>
  <si>
    <t>assuming access and egress time halves when pedestrian space doubles</t>
  </si>
  <si>
    <t>assuming 4x higher access and egress time when zero sidewalks exist</t>
  </si>
  <si>
    <t>Decreases increasingly until reference point, then decreases decreasingly to flatten at 2</t>
  </si>
  <si>
    <t>Efect on PT access egress time</t>
  </si>
  <si>
    <t>Sidewalk width</t>
  </si>
  <si>
    <t>Efect on contact fruitfulness</t>
  </si>
  <si>
    <t>REFERENCE BIKE SUBJECTIVE TRAVEL TIME MULTIPLIER</t>
  </si>
  <si>
    <t>(current network distance relative to euclidian distance)</t>
  </si>
  <si>
    <t>(assuming network to euclidian distance ratio is 1.1 when all roads have bike lanes)</t>
  </si>
  <si>
    <t>EFFECT OF BIKE LANES PER ROAD ON NETWORK TO EUCLIDIAN DISTANCE RATIO</t>
  </si>
  <si>
    <t>A</t>
  </si>
  <si>
    <t>C</t>
  </si>
  <si>
    <t>B</t>
  </si>
  <si>
    <t>share with bike and PT access</t>
  </si>
  <si>
    <t>share with car and PT access</t>
  </si>
  <si>
    <t>share with only PT access</t>
  </si>
  <si>
    <t>Callibrating reference values to initial subjective travel times</t>
  </si>
  <si>
    <t>Subjective travel times</t>
  </si>
  <si>
    <t>Actual</t>
  </si>
  <si>
    <t>Callibrate:</t>
  </si>
  <si>
    <t>Diff</t>
  </si>
  <si>
    <t>Initial overcrowding multiplier</t>
  </si>
  <si>
    <t>Initial overcrowding level</t>
  </si>
  <si>
    <t>Peak riders per hour (kref)</t>
  </si>
  <si>
    <t>changing time</t>
  </si>
  <si>
    <t>Long distance trips</t>
  </si>
  <si>
    <t>Mid distance trips</t>
  </si>
  <si>
    <t>Long distance car trips</t>
  </si>
  <si>
    <t>Long distance PT trips</t>
  </si>
  <si>
    <t>Long distance trips eucl dist</t>
  </si>
  <si>
    <t>Initial congested speed</t>
  </si>
  <si>
    <t>reference parking search and egress time</t>
  </si>
  <si>
    <t>subjective parking search and egress time</t>
  </si>
  <si>
    <t>Callibrating Beta to modal split</t>
  </si>
  <si>
    <t>Beta_8</t>
  </si>
  <si>
    <t>Beta_5</t>
  </si>
  <si>
    <t>For solver:</t>
  </si>
  <si>
    <t>In vehicle:</t>
  </si>
  <si>
    <t>Assumed</t>
  </si>
  <si>
    <t>Assumed subjective travel times</t>
  </si>
  <si>
    <t>Callibrating overcrowing of public transport</t>
  </si>
  <si>
    <t>Callibrating congestion for cars</t>
  </si>
  <si>
    <t>subjective changing time</t>
  </si>
  <si>
    <t>subjective access egress time</t>
  </si>
  <si>
    <t>reference access egress time</t>
  </si>
  <si>
    <t>In vehicle</t>
  </si>
  <si>
    <t>initial overcrowding multiplier</t>
  </si>
  <si>
    <t>Current overcrowding level</t>
  </si>
  <si>
    <t>EFFECT OF PARKING SPOTS ON PARKING SEARCH AND EGRESS TIME</t>
  </si>
  <si>
    <t>Mid distance car trips</t>
  </si>
  <si>
    <t>Mid distance PT trips</t>
  </si>
  <si>
    <t>Car network to eucl dist ratio - long</t>
  </si>
  <si>
    <t>Mid distance distance trips eucl dist</t>
  </si>
  <si>
    <t>Mid distance trips eucl distance</t>
  </si>
  <si>
    <t>Car network to eucl dist ratio - mid</t>
  </si>
  <si>
    <t>initial cycling network to eucl dist ratio</t>
  </si>
  <si>
    <t>average e-bike speed</t>
  </si>
  <si>
    <t>average pedal bike speed</t>
  </si>
  <si>
    <t>share of e-bikes</t>
  </si>
  <si>
    <t>initial average cycling speed</t>
  </si>
  <si>
    <t>Time</t>
  </si>
  <si>
    <t>trips/(persons*Day)</t>
  </si>
  <si>
    <t>Counts busbike lane and bike strip as 0.8m</t>
  </si>
  <si>
    <t xml:space="preserve">Based on minimum sidewalk width </t>
  </si>
  <si>
    <t>Excluding peripherique, according to Heran page 95</t>
  </si>
  <si>
    <t>Min</t>
  </si>
  <si>
    <t>Max</t>
  </si>
  <si>
    <t>CONTACT RATE</t>
  </si>
  <si>
    <t>Public space</t>
  </si>
  <si>
    <t>Mode choice</t>
  </si>
  <si>
    <t>Bike adoption</t>
  </si>
  <si>
    <t>Car adoption</t>
  </si>
  <si>
    <t>Note</t>
  </si>
  <si>
    <t xml:space="preserve">Beta_8, Beta_5, </t>
  </si>
  <si>
    <t>Large role for subjective travel time</t>
  </si>
  <si>
    <t>Small role for real travel time</t>
  </si>
  <si>
    <t>Private parking</t>
  </si>
  <si>
    <t>Policy</t>
  </si>
  <si>
    <t>Average road width</t>
  </si>
  <si>
    <t>Network length converted annually</t>
  </si>
  <si>
    <t>Assumed width added</t>
  </si>
  <si>
    <t>Average distribution change</t>
  </si>
  <si>
    <t>Desired distribution</t>
  </si>
  <si>
    <t>Current distribution</t>
  </si>
  <si>
    <t>(motorist, pedestrian, bike)</t>
  </si>
  <si>
    <t>Share of parking in space for motorists</t>
  </si>
  <si>
    <t>Renewal rate of public space</t>
  </si>
  <si>
    <t>Average Paris-Paris distance/trip 2001</t>
  </si>
  <si>
    <t>Average Paris-Ring distance/trip 2001</t>
  </si>
  <si>
    <t>Average distance per car trip in region 2001</t>
  </si>
  <si>
    <t>Modal split of greater paris trips crossing city in 2020</t>
  </si>
  <si>
    <t>Assumed modal split on long and short-to-mid distance trips</t>
  </si>
  <si>
    <t>Short-mid trips</t>
  </si>
  <si>
    <t>Mode shares</t>
  </si>
  <si>
    <t>Overcrowding occurs between seat and total capacity</t>
  </si>
  <si>
    <t>City - City estimate</t>
  </si>
  <si>
    <t>Ring - City estimate</t>
  </si>
  <si>
    <t>Veligo subscriptions</t>
  </si>
  <si>
    <t>Bike users</t>
  </si>
  <si>
    <t>https://www.data.gouv.fr/en/datasets/nombre-de-souscripteurs-veligo-location-par-commune/</t>
  </si>
  <si>
    <t>subscriptions</t>
  </si>
  <si>
    <t>Dock to bike ratio</t>
  </si>
  <si>
    <t>https://brtguide.itdp.org/branch/master/guide/bicycle-and-pedicab-integration/bicycle-systems</t>
  </si>
  <si>
    <t>https://opendata.paris.fr/explore/dataset/velib-disponibilite-en-temps-reel/information/?disjunctive.name&amp;disjunctive.is_installed&amp;disjunctive.is_renting&amp;disjunctive.is_returning&amp;disjunctive.nom_arrondissement_communes</t>
  </si>
  <si>
    <t>Docks per space for cyclists</t>
  </si>
  <si>
    <t>docks/ha</t>
  </si>
  <si>
    <t>Docks in ring relative to city</t>
  </si>
  <si>
    <t>EXCLUDED: scooters, freefloating bikesharing</t>
  </si>
  <si>
    <t>Private bikes</t>
  </si>
  <si>
    <t>Veligo rented bikes</t>
  </si>
  <si>
    <t>Total private or rented bikes</t>
  </si>
  <si>
    <t>Total bikesharing users</t>
  </si>
  <si>
    <t>https://www.capital.fr/conso/velib-condition-abonnement-et-tarif-1479865</t>
  </si>
  <si>
    <t>Estimated users per zone</t>
  </si>
  <si>
    <t>Bikesharing docks per zone</t>
  </si>
  <si>
    <t>Private bike parking</t>
  </si>
  <si>
    <t>https://www.paris.fr/pages/test-stationner-son-velo-7525</t>
  </si>
  <si>
    <t>Per household</t>
  </si>
  <si>
    <t>GENTLE</t>
  </si>
  <si>
    <t>STEEP</t>
  </si>
  <si>
    <t>DESIRED PUBLIC SPACE DISTRIBUTION</t>
  </si>
  <si>
    <t>pedestrians</t>
  </si>
  <si>
    <t>cyclists</t>
  </si>
  <si>
    <t>motorists</t>
  </si>
  <si>
    <t>CURRENT AMBITION</t>
  </si>
  <si>
    <t>HIGH AMBITION</t>
  </si>
  <si>
    <t>space purpose</t>
  </si>
  <si>
    <t>CITY&lt;&gt;CITY</t>
  </si>
  <si>
    <t>CITY&lt;&gt;RING</t>
  </si>
  <si>
    <t>RING&lt;&gt;RING</t>
  </si>
  <si>
    <t>Paris&lt;&gt;Paris trips</t>
  </si>
  <si>
    <t>Paris&lt;&gt;Ring trips</t>
  </si>
  <si>
    <t>Ring&lt;&gt;Ring trips</t>
  </si>
  <si>
    <t>Inerurban trips per capita</t>
  </si>
  <si>
    <t>Arrays:</t>
  </si>
  <si>
    <t>Shift to city</t>
  </si>
  <si>
    <t>Shift to ring</t>
  </si>
  <si>
    <t>Greater city</t>
  </si>
  <si>
    <t>PARKING SPOTS PER HOME CONSTRUCTED</t>
  </si>
  <si>
    <t>EBIKE UPTAKE</t>
  </si>
  <si>
    <t>DEMAND SCENARIO</t>
  </si>
  <si>
    <t>RENEWAL RATE OF PUBLIC SPACE</t>
  </si>
  <si>
    <t>PT speeds</t>
  </si>
  <si>
    <t>PT fares</t>
  </si>
  <si>
    <t>Capacity increase per 10 years</t>
  </si>
  <si>
    <t>Public transport capacity</t>
  </si>
  <si>
    <t>Assumption: capacity increases by 2% each decennium</t>
  </si>
  <si>
    <t>Share of ebikes</t>
  </si>
  <si>
    <t>Bike speeds</t>
  </si>
  <si>
    <t>Ebike</t>
  </si>
  <si>
    <t>Pedal bike</t>
  </si>
  <si>
    <t>https://www.itf-oecd.org/sites/default/files/docs/improving-quality-walking-cycling-cities.pdf</t>
  </si>
  <si>
    <t>Share of pop youth (&lt;20)</t>
  </si>
  <si>
    <t>Assumption: constant household size over time and between population groups</t>
  </si>
  <si>
    <t>Share of pop car owning and &gt;20</t>
  </si>
  <si>
    <t>Initial pop "no car"</t>
  </si>
  <si>
    <t>Initial pop "car"</t>
  </si>
  <si>
    <t>Initial pop "youth"</t>
  </si>
  <si>
    <t>Cars per pop "car"</t>
  </si>
  <si>
    <t>spots/homes</t>
  </si>
  <si>
    <t>REFERENCE SHIFT IN CAR ADOPTION</t>
  </si>
  <si>
    <t>Type</t>
  </si>
  <si>
    <t>Variable</t>
  </si>
  <si>
    <t>scenario switch</t>
  </si>
  <si>
    <t>constant</t>
  </si>
  <si>
    <t>See tab "scenario_switches"</t>
  </si>
  <si>
    <t>RENEWAL RATE SWITCH</t>
  </si>
  <si>
    <t>CAR ADOPTION SENSITIVITY</t>
  </si>
  <si>
    <t>Incr</t>
  </si>
  <si>
    <t>DESIRED BIKESHARING DOCKS PER USER</t>
  </si>
  <si>
    <t>DESIRED PRIVATE BIKE PARKING PER USER</t>
  </si>
  <si>
    <t>BIKESHARING TO PRIVATE BIKE UPGRADE FRACTION</t>
  </si>
  <si>
    <t>spots/persons</t>
  </si>
  <si>
    <t>effect sensitivity</t>
  </si>
  <si>
    <t>BIKE ADOPTION SENSITIVITY</t>
  </si>
  <si>
    <t>EBIKE UPTAKE SWITCH</t>
  </si>
  <si>
    <t>DEMAND SCENARIO SWITCH</t>
  </si>
  <si>
    <t>trips/(Day*persons)</t>
  </si>
  <si>
    <t>CYCLING NETWORK DISTANCE SENSITIVITY</t>
  </si>
  <si>
    <t>PT ACCESS EGRESS SENSITIVITY</t>
  </si>
  <si>
    <t>PARKING SEARCH AND EGRESS SENSITIVITY</t>
  </si>
  <si>
    <t>Minutes/Minutes</t>
  </si>
  <si>
    <t>Uncertain parameters for GL</t>
  </si>
  <si>
    <t>Uncertain parameters after GL</t>
  </si>
  <si>
    <t>Long distance trips eucl distance</t>
  </si>
  <si>
    <t>reference subjective cost of cycling time</t>
  </si>
  <si>
    <t>Complex</t>
  </si>
  <si>
    <t>SUBJECTIVE CYCLING TIME SENSITIVITY</t>
  </si>
  <si>
    <t>REFERENCE CONTACT FRUITFULNESS</t>
  </si>
  <si>
    <t>Assumption: urban = mid, interurban = long for PT and car, all = mid for bike</t>
  </si>
  <si>
    <t>Share of walking trips in urban trips</t>
  </si>
  <si>
    <t>Parking spots per meter</t>
  </si>
  <si>
    <t>Bike lanes per road</t>
  </si>
  <si>
    <t>PERCEPTION TIME</t>
  </si>
  <si>
    <t>REFERENCE SUBJECTIVE COST OF CYCLING TIME</t>
  </si>
  <si>
    <t>additive</t>
  </si>
  <si>
    <t>DESIRED PEDESTRIAN SPACE SHARE</t>
  </si>
  <si>
    <t>Contraflow bike lanes</t>
  </si>
  <si>
    <t>Shared bus and bike lanes</t>
  </si>
  <si>
    <t>Bike lanes</t>
  </si>
  <si>
    <t>Seperated bike lanes</t>
  </si>
  <si>
    <t>DECISION TIME PRIVATE BIKE ADOPTION</t>
  </si>
  <si>
    <t>DECISION TIME BIKESHARING ADOPTION</t>
  </si>
  <si>
    <t>renewal rate of public space</t>
  </si>
  <si>
    <t>desired pedestrian space share</t>
  </si>
  <si>
    <t>58% - 68%</t>
  </si>
  <si>
    <t>reference shift in car adoption</t>
  </si>
  <si>
    <t>car adoption sensitivity</t>
  </si>
  <si>
    <t>years untile demolished</t>
  </si>
  <si>
    <t>60 - 110 years lifecycle of homes</t>
  </si>
  <si>
    <t>parking spots per home constructed</t>
  </si>
  <si>
    <t>contact rate</t>
  </si>
  <si>
    <t xml:space="preserve">contact fruitfulness </t>
  </si>
  <si>
    <t>desired private bike parking per user</t>
  </si>
  <si>
    <t>0.0828 (current) - 0.09108 (+10%)</t>
  </si>
  <si>
    <t>0.0353 (current) - 0.03883 (+10%)</t>
  </si>
  <si>
    <t>bikesharing to private bike upgrade fraction</t>
  </si>
  <si>
    <t>0.05 - 0.1 (assumption)</t>
  </si>
  <si>
    <t>decision time bikesharing adoption</t>
  </si>
  <si>
    <t>1 - 6 months (assumption)</t>
  </si>
  <si>
    <t xml:space="preserve">decision time private bike adoption </t>
  </si>
  <si>
    <t>6 - 12 months (assumption)</t>
  </si>
  <si>
    <t>bike adoption sensitivity</t>
  </si>
  <si>
    <t>ebike uptake</t>
  </si>
  <si>
    <t>doubles each decade (historic) but stabilizes in 2040 vs keeps doubling each decade</t>
  </si>
  <si>
    <t>demand scenario</t>
  </si>
  <si>
    <t>self-contention in city and in ring increases such that ring&lt;&gt;city trips per person reduce by 3-4% each decade (assumption)</t>
  </si>
  <si>
    <t>perception time</t>
  </si>
  <si>
    <t>people take 6 months or 5 years to change their perception about a mode's attractiveness</t>
  </si>
  <si>
    <t>one minute by bike on 5km trips is in 2020 experienced as 0.8 - 1 minutes</t>
  </si>
  <si>
    <t>subjective cycling time sensitivity</t>
  </si>
  <si>
    <t>cycling network distance sensitivity</t>
  </si>
  <si>
    <t>pt access egress sensitivity</t>
  </si>
  <si>
    <t>parking search and egress sensitivity</t>
  </si>
  <si>
    <t>Uncertainty</t>
  </si>
  <si>
    <t>0.1 - 0.5 spots per new home in Paris (assumption)</t>
  </si>
  <si>
    <t>1 - 5 unique yearly contacts per bike user (assumption)</t>
  </si>
  <si>
    <t>0.02 - 0.1 annual rate of fruitful persuasions (assumption)</t>
  </si>
  <si>
    <t>gradually increases from 0.03 (current policy) to 0.035 or to 0.04</t>
  </si>
  <si>
    <t>sensitivity of the shift in car adoption to growing or declining car use</t>
  </si>
  <si>
    <t>sensitivity of contact fruitfulness to bike usage and parking availability</t>
  </si>
  <si>
    <t>sensitivity of the subjective cost of cycling to public space effects</t>
  </si>
  <si>
    <t>sensitivity of the first and last mile to sidewalk width per road</t>
  </si>
  <si>
    <t>sensitivity of network to euclidian distance ratio to cycling network continuity</t>
  </si>
  <si>
    <t>sensitivity of parking search and egress time to parking spots per car</t>
  </si>
  <si>
    <t>Trips per mode per relation</t>
  </si>
  <si>
    <t>Within Paris</t>
  </si>
  <si>
    <t>Between Paris and the first ring</t>
  </si>
  <si>
    <t>Between Paris and the second ring</t>
  </si>
  <si>
    <t>Total number of daily trips</t>
  </si>
  <si>
    <t>Total number of private vehicle trips</t>
  </si>
  <si>
    <t>Share in total trips per mode per relation</t>
  </si>
  <si>
    <t>Share in total number of daily trips</t>
  </si>
  <si>
    <t>Share in total number of private vehicle trips</t>
  </si>
  <si>
    <t>2021 migration data</t>
  </si>
  <si>
    <t>2017 migration data</t>
  </si>
  <si>
    <t>Arrivals 2021</t>
  </si>
  <si>
    <t>Departures 2021</t>
  </si>
  <si>
    <t>Arrivals 2017</t>
  </si>
  <si>
    <t>Departures 2017</t>
  </si>
  <si>
    <t>(assuming min additive effect on current subj. multiplier is -0.2)</t>
  </si>
  <si>
    <t>Rail average speed</t>
  </si>
  <si>
    <t>net added capacity per year</t>
  </si>
  <si>
    <t>Compound annual growth rate: computing net added PT capacity per year</t>
  </si>
  <si>
    <t>Seat capacity to total capacity ratio</t>
  </si>
  <si>
    <t>EFFECT OF CAR LANES PER ROAD ON NETWORK TO EUCLIDIAN DISTANCE RATIO</t>
  </si>
  <si>
    <t>Subjective value functions</t>
  </si>
  <si>
    <t>This tab converts subjective value functions as used within the MARS model (Pfaffenbichler, 2010) and converts them into Vensim lookup functions</t>
  </si>
  <si>
    <t>Trip components for public transport and car trips have their own subjective value functions.</t>
  </si>
  <si>
    <t>Effect lookups</t>
  </si>
  <si>
    <t>This tab defines effect lookups used within the model to define non-linear relationships between variables</t>
  </si>
  <si>
    <t>Effect lookups are either additive or multiplicative, the former passing through a 0,0 point and the latter through a 1, 1 point</t>
  </si>
  <si>
    <t>In-vehicle time</t>
  </si>
  <si>
    <t>Parking search and walking time</t>
  </si>
  <si>
    <t>Parameter</t>
  </si>
  <si>
    <t>Value</t>
  </si>
  <si>
    <t>Physical time</t>
  </si>
  <si>
    <t>In vehicle time</t>
  </si>
  <si>
    <t>Linear</t>
  </si>
  <si>
    <t>Changing time</t>
  </si>
  <si>
    <t>Waiting time</t>
  </si>
  <si>
    <t>Access/egress time</t>
  </si>
  <si>
    <t>Public transport seperated from other traffic (metro, rail)</t>
  </si>
  <si>
    <t>Parking search and out vehicle time</t>
  </si>
  <si>
    <t>(current car distance relative to euclidian distance)</t>
  </si>
  <si>
    <t>(current car lanes per road)</t>
  </si>
  <si>
    <t>(assuming network to euclidian distance ratio is 1.1 when roads have on average 4 car lanes)</t>
  </si>
  <si>
    <t>Scale</t>
  </si>
  <si>
    <t>Effect on car network distance</t>
  </si>
  <si>
    <t>Mid distance bike trips</t>
  </si>
  <si>
    <t>subjective waiting time</t>
  </si>
  <si>
    <t>waiting time</t>
  </si>
  <si>
    <t>Physical</t>
  </si>
  <si>
    <t>Metro average speed</t>
  </si>
  <si>
    <t>cycling parking time</t>
  </si>
  <si>
    <t>The subjective valuation factor takes the form A + B * EXP(C*t) where t is physical time and A, B, and C are function parameters. The factor is multiplied by physical time</t>
  </si>
  <si>
    <t>The subjective valuation factors used within the MARS model originate from empirical research by Walther, K. (1997)</t>
  </si>
  <si>
    <t>PT network to eucl dist ratio</t>
  </si>
  <si>
    <t>reference subjective value factor for cycling time</t>
  </si>
  <si>
    <t>Argumentation: average physical travel time per trip between Paris and first ring is between 40 and 50 Minutes. Initially, subjective travel time is higher on PT although physical time is shorter, due to the various subjective value factors and overcrowding</t>
  </si>
  <si>
    <t>(reference car lanes per road)</t>
  </si>
  <si>
    <t>(assuming 50% distance penalty when zero roads have bike lanes)</t>
  </si>
  <si>
    <t>Destination choice</t>
  </si>
  <si>
    <t>City population</t>
  </si>
  <si>
    <t>Within own zone (total)</t>
  </si>
  <si>
    <t>Within own zone (per person)</t>
  </si>
  <si>
    <t>To the other zone (total)</t>
  </si>
  <si>
    <t>To the other zone (per person)</t>
  </si>
  <si>
    <t>Ring population</t>
  </si>
  <si>
    <t>Share of urban trips by foot</t>
  </si>
  <si>
    <t xml:space="preserve">Estimated short distance </t>
  </si>
  <si>
    <t>Estimated mid distance</t>
  </si>
  <si>
    <t>Assumption: average travel time per trip within Paris is 31 Minutes. Physically, car trips take the longest. Subjectively, PT and bike trips.</t>
  </si>
  <si>
    <t>Change in car lanes</t>
  </si>
  <si>
    <t>(assuming network to euclidian distance ratio is 1.8 there's on average 0.5 car lanes per road)</t>
  </si>
  <si>
    <t>EFFECT OF BIKE UPTAKE ON RENEWAL RATE OF PUBLIC SPACE</t>
  </si>
  <si>
    <t>(reference renewal rate)</t>
  </si>
  <si>
    <t>(reference fraction of population with bike access)</t>
  </si>
  <si>
    <t>Population with bike</t>
  </si>
  <si>
    <t>Effect on renewal rate</t>
  </si>
  <si>
    <t>Assuming renewal rate declines to 2/3 of current rate when no cyclists</t>
  </si>
  <si>
    <t>Assuming renewal rate increases to 4/3 of current rate when 50% is a cyclist</t>
  </si>
  <si>
    <t>Lookup switches (2/ 2)</t>
  </si>
  <si>
    <t>Category</t>
  </si>
  <si>
    <t>RENEWAL RATE SENSITIVITY</t>
  </si>
  <si>
    <t>Future policy</t>
  </si>
  <si>
    <t>The base assumption is for the renewal rate to increase by one third of its current value by the time cycling uptake reaches 50% of the population (see Appendix ). Since this effect size is uncertain, it is varied by X^y if X is the normalized effect from the base assumption, and y varies between 0.5 and 2.</t>
  </si>
  <si>
    <t>Pedestrian space share would increase by 1.8%-points (to 58.4% based on estimate for current share) on average if the full road network was reallocated in proportion to current reallocation plans. Since the final ambition for pedestrianization is uncertain and may increase, this share is varied between a 1.8% and 7.2%-point increase (four times current ambition).</t>
  </si>
  <si>
    <t>Vehicle adoption</t>
  </si>
  <si>
    <t>EFFECT OF CAR USAGE ON SHIFT IN YOUNG ADULT CAR ADOPTION</t>
  </si>
  <si>
    <t>(reference shift, uncertain)</t>
  </si>
  <si>
    <t>(assuming 30% larger shift in car adoption when car usage falls by 50%)</t>
  </si>
  <si>
    <t>(assuming 30% larger shift in car adoption when car usages grows by 50%)</t>
  </si>
  <si>
    <t>In model to avoid out of range, added points to parking search effect: (14.5,145),(15,155),(20,155)</t>
  </si>
  <si>
    <t>(assuming max parking search and egress time is 14 minutes)</t>
  </si>
  <si>
    <t>The base assumption is for the current shift in young adult car adoption to vary by 30% if car usage varies by 50% (See Appendix). Since this effect size is uncertain, it is varied by X^y if X is the normalized effect from the base assumption, and y varies between 0.5 and 2.</t>
  </si>
  <si>
    <t>TIPPING POINT SWITCH</t>
  </si>
  <si>
    <t>switch</t>
  </si>
  <si>
    <t>Two curves are included in the model that describes how soon the cautious majority becomes receptive to cycling: an early and a late tipping point. The early tipping point assumes the case study is currently at the tipping point, the late tipping point is assumed at an extra 20%-point completion of the cycling network. This assumption is informed by the expert interviews.</t>
  </si>
  <si>
    <t>The base assumption is for bike usage and bike parking availability together to multiply the reference contact fruitfulness (0.02) by up to 4 times (see Appendix ). Since this effect size is uncertain, it is varied by X^y if X is the normalized effect from the base assumption, and y varies between 0.5 and 2.</t>
  </si>
  <si>
    <t>The contact rate (number of unique, high-quality social contacts per person per year) is uncertain, although in urban areas it tends to be high (\citep{}). A wide range is chosen of 3 - 7.</t>
  </si>
  <si>
    <t>The share of bikesharing users upgrading to private bike use after two years is uncertain. A wide range is assumed of 5 - 25%.</t>
  </si>
  <si>
    <t>The pace and final state of e-bike uptake is uncertain. The model varies between two discrete scenarios, both starting from the current level of adoption, but continuing at different speeds and until different final states (see Appendix )</t>
  </si>
  <si>
    <t>CAR NETWORK DISTANCE SENSITIVITY</t>
  </si>
  <si>
    <t>NET ADDED PT CAPACITY PER YEAR</t>
  </si>
  <si>
    <t>Data</t>
  </si>
  <si>
    <t>SENSITIVITY TO SIDEWALK DATA UNCERTAINTY</t>
  </si>
  <si>
    <t>SENSITIVITY TO CAR LANE DATA UNCERTAINTY</t>
  </si>
  <si>
    <t>DESTINATION SHIFT RATE RING</t>
  </si>
  <si>
    <t>DESTINATION SHIFT RATE CITY</t>
  </si>
  <si>
    <t>The base assumption is for the car network distance to euclidian distance ratio to increase to 1.8 when only half of the network is car-accessible, and decrease to 1.1 if average car lanes per road becomes 4 (see Appendix ). Since this effect size is uncertain, it is varied by X^y if X is the normalized effect from the base assumption, and y varies between 0.5 and 2.</t>
  </si>
  <si>
    <t xml:space="preserve">The base assumption is for distance to euclidian distance ratio to double when zero roads have bike lanes, and to fall to 1.1 when all roads have bike lanes (see Appendix ). Since this effect size is uncertain, it is varied by X^y if X is the normalized effect from the base assumption, and y varies between 0.5 and 2. </t>
  </si>
  <si>
    <t>The base assumption is for subjective cost of cycling to vary by a maximum of 0.8 Minutes per Minute (In the most extreme scenario, where three additive effects stack up. This is not plausible and does not occur in any of the experiments.) (see Appendix ). Since this effect size is uncertain, it is varied by X*y if X is the subjective value factor, and y varies between 0.5 and 1.5.</t>
  </si>
  <si>
    <t>(current city parking spots per city car)</t>
  </si>
  <si>
    <t>(assuming that four city parking spot per city car is the maximum possible, and would reduce search and agress time to 5 minutes)</t>
  </si>
  <si>
    <t>The base assumption is for parking search and egress time to vary between  5 and 14 minutes depending on city parking per city car (see Appendix ). Since this effect size is uncertain, it is varied by X^y if X is the normalized effect from the base assumption, and y varies between 0.5 and 2.</t>
  </si>
  <si>
    <t>Perception time determines how fast travel behavior adapts to changes in relative attractiveness, by setting a delay to changes in perceived attractiveness of modes resulting from changes in subjective travel time. A wide range is taken between 1 and 5 years.</t>
  </si>
  <si>
    <t>The base assumption is for subjective cost factor of cycling time to fall by 0.1 or increase by 0.2 Minutes/Minute depending on whether theaverage road is oneway or four-lane (see Appendix ). Since this effect size is uncertain, and because there is uncertainty in the estimated share of road space due to data gaps, the effect is varied by X^y if X is the normalized effect from the base assumption, and y varies between 0.5 and 2.</t>
  </si>
  <si>
    <t>The base assumption is for PT access egress time to increase by 400% if no sidewalks existed, and to halve when pedestrian space were to double (see Appendix ). Since this effect size is uncertain, and because there is uncertainty in the estimated share of pedestrian space due to data gaps, the effect is varied by X^y if X is the normalized effect from the base assumption, and y varies between 0.5 and 2.</t>
  </si>
  <si>
    <t>The metro system is being expanded and automation increases the frequency and thus capacity of the metro system. Given the size of the metro system, and the pace of public transport infrastructure construction being in the order of decades, an order of magnitude of 1% per decade is plausible. Due to uncertainty, the variable is varied between 0.5% and 1.5% per decade</t>
  </si>
  <si>
    <t>low</t>
  </si>
  <si>
    <t>mid</t>
  </si>
  <si>
    <t>high</t>
  </si>
  <si>
    <t>per x years</t>
  </si>
  <si>
    <t>Destination choice is expected to change such that people travel less to the city, but it is uncertain to what extent. Change rates between 1% and 10% per decade are plausible, although further research is needed to refine this assumption</t>
  </si>
  <si>
    <t>Destination choice is expected to change such that people travel shorter distances within the city, but it is uncertain to what extent. Change rates between 1% and 5% per decade are plausible, although further research is needed to refine this assumption</t>
  </si>
  <si>
    <t>t</t>
  </si>
  <si>
    <t>EFFECT OF BIKE NETWORK COMPLETION ON POPULATION SUSCEPTIBLE TO CYCLING</t>
  </si>
  <si>
    <t>Before tipping point</t>
  </si>
  <si>
    <t>During tipping point</t>
  </si>
  <si>
    <t>Never</t>
  </si>
  <si>
    <t>Reference susceptiveness</t>
  </si>
  <si>
    <t>Fraction with bike access:</t>
  </si>
  <si>
    <t>reference fraction susceptible to cycling</t>
  </si>
  <si>
    <t>End point</t>
  </si>
  <si>
    <t>At end point</t>
  </si>
  <si>
    <t>Reference point</t>
  </si>
  <si>
    <t>(bike network completion)</t>
  </si>
  <si>
    <t>(=minum fraction receptive)</t>
  </si>
  <si>
    <t>(=maximum fraction receptive)</t>
  </si>
  <si>
    <t>(if zero infrastructure)</t>
  </si>
  <si>
    <t>(assuming halfway through tipping point for cautious majority)</t>
  </si>
  <si>
    <t>Comfortable cyclists: 16- 25% of participants, Cautious Majority: 62- 65% of participants, Uncomfortable or Uninterested: 13- 19% of participants</t>
  </si>
  <si>
    <t>EARLY: the tipping point happens between 20- 60%completion and stabilizes at 80% completion</t>
  </si>
  <si>
    <t>LATE: the tipping point happens between 40-60% completion and stabilizes at 90% completion</t>
  </si>
  <si>
    <t>(assuming entering tipping point for cautious majority)</t>
  </si>
  <si>
    <t>Effect on population susceptible to cycling</t>
  </si>
  <si>
    <t>Bike network completion</t>
  </si>
  <si>
    <t>BIKE ADOPTION SENSITIVITY TO PARKING</t>
  </si>
  <si>
    <t>BIKE ADOPTION SENSITIVITY TO USAGE</t>
  </si>
  <si>
    <t>variable</t>
  </si>
  <si>
    <t>lower_bound</t>
  </si>
  <si>
    <t>upper_bound</t>
  </si>
  <si>
    <t>For .csv file single_params:</t>
  </si>
  <si>
    <t>For effect_sensitivities:</t>
  </si>
  <si>
    <t>DESIRED SHARE OF CAR SPACE USED FOR PARKING</t>
  </si>
  <si>
    <t>Currently, 19% of space for motorists is parking space. This is uncertain: road space reallocation could consume parking space to a larger or smaller extent. The desired share is varied between zero on-street parking and 10%-points more than today.</t>
  </si>
  <si>
    <t>Currently, there are 0.33 residential parking spots per home in the city. This is expected to decline in future residential housing, but to which extent is uncertain. The chosen range is between 0 and 0.3 parking spots per home</t>
  </si>
  <si>
    <t>It is uncertain to which extent young adults are currently avoiding car ownership rather than postponing car ownership. A wide range in percentage point shift in car adoption (5 - 25%) is adopted, relative to current adult car adoption</t>
  </si>
  <si>
    <t>Car parking</t>
  </si>
  <si>
    <t>Cyclists</t>
  </si>
  <si>
    <t>Future policy, Destination choice</t>
  </si>
  <si>
    <t>Explanation of range</t>
  </si>
  <si>
    <t>CAR ADOPTION SENSITIVITY TO USAGE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</si>
</sst>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64" formatCode="#,##0&quot; ha&quot;"/>
    <numFmt numFmtId="165" formatCode="0.0"/>
    <numFmt numFmtId="166" formatCode="#,##0.00000&quot; ha&quot;"/>
    <numFmt numFmtId="167" formatCode="0.0%"/>
    <numFmt numFmtId="168" formatCode="0.000"/>
    <numFmt numFmtId="169" formatCode="0.0000"/>
    <numFmt numFmtId="170" formatCode="0.0000000"/>
    <numFmt numFmtId="171" formatCode="#,##0&quot; km&quot;"/>
    <numFmt numFmtId="172" formatCode="0.00000"/>
    <numFmt numFmtId="173" formatCode="0&quot; Minutes/trips&quot;"/>
    <numFmt numFmtId="174" formatCode="0&quot; km/Year&quot;"/>
    <numFmt numFmtId="175" formatCode="0.00&quot; m&quot;"/>
    <numFmt numFmtId="176" formatCode="#,##0.0&quot; km&quot;"/>
    <numFmt numFmtId="177" formatCode="0&quot; m&quot;"/>
    <numFmt numFmtId="178" formatCode="0&quot; daily trips&quot;"/>
    <numFmt numFmtId="179" formatCode="#,##0.0000&quot; trips/person&quot;"/>
    <numFmt numFmtId="180" formatCode="0.00&quot; km/Year&quot;"/>
  </numFmts>
  <fonts count="21" x14ac:knownFonts="1">
    <font>
      <sz val="11"/>
      <color theme="1"/>
      <name val="Calibri"/>
      <family val="2"/>
      <scheme val="minor"/>
    </font>
    <font>
      <sz val="11"/>
      <color theme="0"/>
      <name val="Calibri"/>
      <family val="2"/>
      <scheme val="minor"/>
    </font>
    <font>
      <i/>
      <sz val="11"/>
      <color theme="1"/>
      <name val="Calibri"/>
      <family val="2"/>
      <scheme val="minor"/>
    </font>
    <font>
      <sz val="11"/>
      <color theme="1"/>
      <name val="Calibri"/>
      <family val="2"/>
      <scheme val="minor"/>
    </font>
    <font>
      <sz val="11"/>
      <color rgb="FF000000"/>
      <name val="Calibri"/>
      <family val="2"/>
    </font>
    <font>
      <b/>
      <sz val="11"/>
      <color theme="1"/>
      <name val="Calibri"/>
      <family val="2"/>
      <scheme val="minor"/>
    </font>
    <font>
      <u/>
      <sz val="11"/>
      <color theme="10"/>
      <name val="Calibri"/>
      <family val="2"/>
      <scheme val="minor"/>
    </font>
    <font>
      <i/>
      <u/>
      <sz val="11"/>
      <color theme="10"/>
      <name val="Calibri"/>
      <family val="2"/>
      <scheme val="minor"/>
    </font>
    <font>
      <b/>
      <u/>
      <sz val="11"/>
      <color theme="1"/>
      <name val="Calibri"/>
      <family val="2"/>
      <scheme val="minor"/>
    </font>
    <font>
      <sz val="11"/>
      <color rgb="FFFF0000"/>
      <name val="Calibri"/>
      <family val="2"/>
      <scheme val="minor"/>
    </font>
    <font>
      <sz val="11"/>
      <name val="Calibri"/>
      <family val="2"/>
      <scheme val="minor"/>
    </font>
    <font>
      <sz val="9"/>
      <color theme="1"/>
      <name val="Calibri"/>
      <family val="2"/>
      <scheme val="minor"/>
    </font>
    <font>
      <i/>
      <u/>
      <sz val="9"/>
      <color theme="10"/>
      <name val="Calibri"/>
      <family val="2"/>
      <scheme val="minor"/>
    </font>
    <font>
      <u/>
      <sz val="9"/>
      <color theme="10"/>
      <name val="Calibri"/>
      <family val="2"/>
      <scheme val="minor"/>
    </font>
    <font>
      <sz val="8"/>
      <name val="Calibri"/>
      <family val="2"/>
      <scheme val="minor"/>
    </font>
    <font>
      <sz val="8"/>
      <color theme="1"/>
      <name val="Calibri"/>
      <family val="2"/>
      <scheme val="minor"/>
    </font>
    <font>
      <sz val="9"/>
      <color theme="0" tint="-0.34998626667073579"/>
      <name val="Calibri"/>
      <family val="2"/>
      <scheme val="minor"/>
    </font>
    <font>
      <b/>
      <sz val="11"/>
      <color theme="0"/>
      <name val="Calibri"/>
      <family val="2"/>
      <scheme val="minor"/>
    </font>
    <font>
      <i/>
      <sz val="11"/>
      <name val="Calibri"/>
      <family val="2"/>
      <scheme val="minor"/>
    </font>
    <font>
      <b/>
      <sz val="16"/>
      <color theme="1"/>
      <name val="Calibri"/>
      <family val="2"/>
      <scheme val="minor"/>
    </font>
    <font>
      <sz val="10"/>
      <color theme="1"/>
      <name val="Calibri"/>
      <family val="2"/>
      <scheme val="minor"/>
    </font>
  </fonts>
  <fills count="13">
    <fill>
      <patternFill patternType="none"/>
    </fill>
    <fill>
      <patternFill patternType="gray125"/>
    </fill>
    <fill>
      <patternFill patternType="solid">
        <fgColor rgb="FF434343"/>
        <bgColor indexed="64"/>
      </patternFill>
    </fill>
    <fill>
      <patternFill patternType="solid">
        <fgColor theme="4"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1"/>
        <bgColor indexed="64"/>
      </patternFill>
    </fill>
    <fill>
      <patternFill patternType="solid">
        <fgColor theme="0"/>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249977111117893"/>
        <bgColor indexed="64"/>
      </patternFill>
    </fill>
  </fills>
  <borders count="16">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s>
  <cellStyleXfs count="3">
    <xf numFmtId="0" fontId="0" fillId="0" borderId="0"/>
    <xf numFmtId="9" fontId="3" fillId="0" borderId="0" applyFont="0" applyFill="0" applyBorder="0" applyAlignment="0" applyProtection="0"/>
    <xf numFmtId="0" fontId="6" fillId="0" borderId="0" applyNumberFormat="0" applyFill="0" applyBorder="0" applyAlignment="0" applyProtection="0"/>
  </cellStyleXfs>
  <cellXfs count="213">
    <xf numFmtId="0" fontId="0" fillId="0" borderId="0" xfId="0"/>
    <xf numFmtId="14" fontId="1" fillId="2" borderId="0" xfId="0" applyNumberFormat="1" applyFont="1" applyFill="1"/>
    <xf numFmtId="164" fontId="0" fillId="0" borderId="0" xfId="0" applyNumberFormat="1"/>
    <xf numFmtId="0" fontId="2" fillId="0" borderId="0" xfId="0" applyFont="1"/>
    <xf numFmtId="164" fontId="2" fillId="0" borderId="0" xfId="0" applyNumberFormat="1" applyFont="1"/>
    <xf numFmtId="0" fontId="4" fillId="0" borderId="0" xfId="0" applyFont="1"/>
    <xf numFmtId="9" fontId="0" fillId="0" borderId="0" xfId="1" applyFont="1"/>
    <xf numFmtId="9" fontId="0" fillId="0" borderId="0" xfId="0" applyNumberFormat="1"/>
    <xf numFmtId="0" fontId="5" fillId="0" borderId="0" xfId="0" applyFont="1"/>
    <xf numFmtId="165" fontId="0" fillId="0" borderId="0" xfId="0" applyNumberFormat="1"/>
    <xf numFmtId="1" fontId="0" fillId="0" borderId="0" xfId="0" applyNumberFormat="1"/>
    <xf numFmtId="165" fontId="0" fillId="0" borderId="0" xfId="1" applyNumberFormat="1" applyFont="1"/>
    <xf numFmtId="166" fontId="0" fillId="0" borderId="0" xfId="0" applyNumberFormat="1"/>
    <xf numFmtId="167" fontId="0" fillId="0" borderId="0" xfId="1" applyNumberFormat="1" applyFont="1" applyAlignment="1">
      <alignment horizontal="left"/>
    </xf>
    <xf numFmtId="167" fontId="5" fillId="0" borderId="0" xfId="1" applyNumberFormat="1" applyFont="1" applyAlignment="1">
      <alignment horizontal="left"/>
    </xf>
    <xf numFmtId="9" fontId="0" fillId="0" borderId="0" xfId="1" applyFont="1" applyAlignment="1">
      <alignment horizontal="left"/>
    </xf>
    <xf numFmtId="168" fontId="0" fillId="0" borderId="0" xfId="0" applyNumberFormat="1"/>
    <xf numFmtId="2" fontId="0" fillId="0" borderId="0" xfId="0" applyNumberFormat="1" applyAlignment="1">
      <alignment horizontal="right"/>
    </xf>
    <xf numFmtId="0" fontId="2" fillId="0" borderId="0" xfId="0" applyFont="1" applyAlignment="1">
      <alignment horizontal="left" indent="2"/>
    </xf>
    <xf numFmtId="0" fontId="7" fillId="0" borderId="0" xfId="2" applyFont="1" applyAlignment="1">
      <alignment horizontal="left" indent="2"/>
    </xf>
    <xf numFmtId="0" fontId="6" fillId="0" borderId="0" xfId="2"/>
    <xf numFmtId="9" fontId="6" fillId="0" borderId="0" xfId="2" applyNumberFormat="1"/>
    <xf numFmtId="0" fontId="0" fillId="0" borderId="0" xfId="0" applyAlignment="1">
      <alignment wrapText="1"/>
    </xf>
    <xf numFmtId="2" fontId="0" fillId="0" borderId="0" xfId="0" applyNumberFormat="1"/>
    <xf numFmtId="0" fontId="8" fillId="0" borderId="0" xfId="0" applyFont="1"/>
    <xf numFmtId="0" fontId="0" fillId="3" borderId="0" xfId="0" applyFill="1"/>
    <xf numFmtId="9" fontId="0" fillId="3" borderId="0" xfId="1" applyFont="1" applyFill="1"/>
    <xf numFmtId="1" fontId="0" fillId="3" borderId="0" xfId="0" applyNumberFormat="1" applyFill="1"/>
    <xf numFmtId="0" fontId="0" fillId="0" borderId="0" xfId="0" applyAlignment="1">
      <alignment horizontal="left"/>
    </xf>
    <xf numFmtId="0" fontId="0" fillId="0" borderId="0" xfId="0" applyAlignment="1">
      <alignment horizontal="right"/>
    </xf>
    <xf numFmtId="0" fontId="0" fillId="0" borderId="0" xfId="1" applyNumberFormat="1" applyFont="1" applyAlignment="1">
      <alignment horizontal="right"/>
    </xf>
    <xf numFmtId="167" fontId="0" fillId="0" borderId="0" xfId="1" applyNumberFormat="1" applyFont="1" applyAlignment="1">
      <alignment horizontal="right"/>
    </xf>
    <xf numFmtId="0" fontId="2" fillId="0" borderId="0" xfId="0" applyFont="1" applyAlignment="1">
      <alignment horizontal="right"/>
    </xf>
    <xf numFmtId="1" fontId="2" fillId="0" borderId="0" xfId="0" applyNumberFormat="1" applyFont="1"/>
    <xf numFmtId="1" fontId="0" fillId="0" borderId="1" xfId="0" applyNumberFormat="1" applyBorder="1"/>
    <xf numFmtId="9" fontId="0" fillId="0" borderId="1" xfId="1" applyFont="1" applyBorder="1"/>
    <xf numFmtId="0" fontId="0" fillId="0" borderId="1" xfId="0" applyBorder="1" applyAlignment="1">
      <alignment horizontal="right"/>
    </xf>
    <xf numFmtId="9" fontId="2" fillId="0" borderId="0" xfId="1" applyFont="1"/>
    <xf numFmtId="9" fontId="2" fillId="0" borderId="0" xfId="0" applyNumberFormat="1" applyFont="1"/>
    <xf numFmtId="0" fontId="2" fillId="0" borderId="1" xfId="0" applyFont="1" applyBorder="1"/>
    <xf numFmtId="1" fontId="2" fillId="0" borderId="1" xfId="0" applyNumberFormat="1" applyFont="1" applyBorder="1"/>
    <xf numFmtId="1" fontId="0" fillId="0" borderId="0" xfId="0" applyNumberFormat="1" applyAlignment="1">
      <alignment horizontal="right"/>
    </xf>
    <xf numFmtId="165" fontId="0" fillId="0" borderId="1" xfId="0" applyNumberFormat="1" applyBorder="1"/>
    <xf numFmtId="165" fontId="9" fillId="0" borderId="0" xfId="0" applyNumberFormat="1" applyFont="1"/>
    <xf numFmtId="0" fontId="9" fillId="0" borderId="0" xfId="0" applyFont="1"/>
    <xf numFmtId="0" fontId="9" fillId="0" borderId="0" xfId="0" applyFont="1" applyAlignment="1">
      <alignment horizontal="right"/>
    </xf>
    <xf numFmtId="2" fontId="9" fillId="0" borderId="0" xfId="0" applyNumberFormat="1" applyFont="1"/>
    <xf numFmtId="9" fontId="9" fillId="0" borderId="0" xfId="1" applyFont="1" applyAlignment="1">
      <alignment horizontal="left"/>
    </xf>
    <xf numFmtId="2" fontId="0" fillId="0" borderId="1" xfId="0" applyNumberFormat="1" applyBorder="1"/>
    <xf numFmtId="169" fontId="0" fillId="0" borderId="0" xfId="0" applyNumberFormat="1"/>
    <xf numFmtId="1" fontId="0" fillId="0" borderId="0" xfId="1" applyNumberFormat="1" applyFont="1"/>
    <xf numFmtId="170" fontId="0" fillId="0" borderId="0" xfId="0" applyNumberFormat="1"/>
    <xf numFmtId="0" fontId="0" fillId="0" borderId="0" xfId="0" applyAlignment="1">
      <alignment horizontal="left" wrapText="1"/>
    </xf>
    <xf numFmtId="168" fontId="0" fillId="3" borderId="0" xfId="0" applyNumberFormat="1" applyFill="1"/>
    <xf numFmtId="14" fontId="1" fillId="2" borderId="0" xfId="0" applyNumberFormat="1" applyFont="1" applyFill="1" applyAlignment="1">
      <alignment horizontal="left"/>
    </xf>
    <xf numFmtId="14" fontId="1" fillId="0" borderId="0" xfId="0" applyNumberFormat="1" applyFont="1"/>
    <xf numFmtId="0" fontId="0" fillId="5" borderId="0" xfId="0" applyFill="1"/>
    <xf numFmtId="0" fontId="11" fillId="0" borderId="0" xfId="0" applyFont="1" applyAlignment="1">
      <alignment horizontal="right"/>
    </xf>
    <xf numFmtId="0" fontId="12" fillId="0" borderId="0" xfId="2" applyFont="1" applyAlignment="1">
      <alignment horizontal="left"/>
    </xf>
    <xf numFmtId="1" fontId="2" fillId="5" borderId="0" xfId="0" applyNumberFormat="1" applyFont="1" applyFill="1"/>
    <xf numFmtId="1" fontId="5" fillId="0" borderId="0" xfId="0" applyNumberFormat="1" applyFont="1"/>
    <xf numFmtId="0" fontId="11" fillId="0" borderId="0" xfId="0" applyFont="1"/>
    <xf numFmtId="0" fontId="13" fillId="0" borderId="0" xfId="2" applyFont="1"/>
    <xf numFmtId="171" fontId="0" fillId="0" borderId="0" xfId="1" applyNumberFormat="1" applyFont="1"/>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14" fontId="1" fillId="2" borderId="2" xfId="0" applyNumberFormat="1" applyFont="1" applyFill="1" applyBorder="1"/>
    <xf numFmtId="0" fontId="1" fillId="2" borderId="3" xfId="0" applyFont="1" applyFill="1" applyBorder="1"/>
    <xf numFmtId="167" fontId="3" fillId="0" borderId="0" xfId="1" applyNumberFormat="1" applyFont="1" applyAlignment="1">
      <alignment horizontal="left"/>
    </xf>
    <xf numFmtId="167" fontId="0" fillId="0" borderId="0" xfId="0" applyNumberFormat="1"/>
    <xf numFmtId="0" fontId="1" fillId="2" borderId="0" xfId="0" applyFont="1" applyFill="1"/>
    <xf numFmtId="0" fontId="1" fillId="2" borderId="6" xfId="0" applyFont="1" applyFill="1" applyBorder="1"/>
    <xf numFmtId="172" fontId="0" fillId="0" borderId="0" xfId="0" applyNumberFormat="1"/>
    <xf numFmtId="0" fontId="0" fillId="4" borderId="0" xfId="0" applyFill="1"/>
    <xf numFmtId="168" fontId="0" fillId="4" borderId="0" xfId="0" applyNumberFormat="1" applyFill="1"/>
    <xf numFmtId="0" fontId="0" fillId="0" borderId="2" xfId="0" applyBorder="1"/>
    <xf numFmtId="1" fontId="0" fillId="0" borderId="3" xfId="0" applyNumberFormat="1" applyBorder="1"/>
    <xf numFmtId="0" fontId="0" fillId="0" borderId="5" xfId="0" applyBorder="1"/>
    <xf numFmtId="1" fontId="0" fillId="4" borderId="0" xfId="0" applyNumberFormat="1" applyFill="1"/>
    <xf numFmtId="2" fontId="0" fillId="0" borderId="6" xfId="0" applyNumberFormat="1" applyBorder="1"/>
    <xf numFmtId="0" fontId="0" fillId="0" borderId="7" xfId="0" applyBorder="1"/>
    <xf numFmtId="0" fontId="15" fillId="0" borderId="0" xfId="0" applyFont="1"/>
    <xf numFmtId="0" fontId="16" fillId="0" borderId="0" xfId="0" applyFont="1" applyAlignment="1">
      <alignment horizontal="left"/>
    </xf>
    <xf numFmtId="0" fontId="1" fillId="6" borderId="2" xfId="0" applyFont="1" applyFill="1" applyBorder="1"/>
    <xf numFmtId="0" fontId="17" fillId="6" borderId="4" xfId="0" applyFont="1" applyFill="1" applyBorder="1" applyAlignment="1">
      <alignment horizontal="left"/>
    </xf>
    <xf numFmtId="0" fontId="0" fillId="0" borderId="6" xfId="0" applyBorder="1" applyAlignment="1">
      <alignment horizontal="left"/>
    </xf>
    <xf numFmtId="0" fontId="0" fillId="7" borderId="6" xfId="0" applyFill="1" applyBorder="1" applyAlignment="1">
      <alignment horizontal="left"/>
    </xf>
    <xf numFmtId="2" fontId="0" fillId="0" borderId="5" xfId="0" applyNumberFormat="1" applyBorder="1"/>
    <xf numFmtId="14" fontId="0" fillId="0" borderId="0" xfId="0" applyNumberFormat="1" applyAlignment="1">
      <alignment horizontal="left"/>
    </xf>
    <xf numFmtId="9" fontId="2" fillId="0" borderId="0" xfId="1" applyFont="1" applyFill="1"/>
    <xf numFmtId="1" fontId="2" fillId="0" borderId="0" xfId="1" applyNumberFormat="1" applyFont="1" applyFill="1"/>
    <xf numFmtId="0" fontId="17" fillId="6" borderId="3" xfId="0" applyFont="1" applyFill="1" applyBorder="1" applyAlignment="1">
      <alignment horizontal="left"/>
    </xf>
    <xf numFmtId="14" fontId="10" fillId="0" borderId="0" xfId="0" applyNumberFormat="1" applyFont="1" applyAlignment="1">
      <alignment horizontal="right"/>
    </xf>
    <xf numFmtId="9" fontId="0" fillId="0" borderId="10" xfId="1" applyFont="1" applyFill="1" applyBorder="1" applyAlignment="1">
      <alignment horizontal="right"/>
    </xf>
    <xf numFmtId="9" fontId="2" fillId="0" borderId="10" xfId="1" applyFont="1" applyFill="1" applyBorder="1"/>
    <xf numFmtId="0" fontId="1" fillId="6" borderId="3" xfId="0" applyFont="1" applyFill="1" applyBorder="1"/>
    <xf numFmtId="0" fontId="1" fillId="6" borderId="4" xfId="0" applyFont="1" applyFill="1" applyBorder="1"/>
    <xf numFmtId="0" fontId="1" fillId="8" borderId="5" xfId="0" applyFont="1" applyFill="1" applyBorder="1"/>
    <xf numFmtId="0" fontId="1" fillId="8" borderId="0" xfId="0" applyFont="1" applyFill="1"/>
    <xf numFmtId="0" fontId="1" fillId="8" borderId="6" xfId="0" applyFont="1" applyFill="1" applyBorder="1"/>
    <xf numFmtId="0" fontId="0" fillId="0" borderId="5" xfId="0" applyBorder="1" applyAlignment="1">
      <alignment horizontal="right"/>
    </xf>
    <xf numFmtId="173" fontId="0" fillId="0" borderId="0" xfId="0" applyNumberFormat="1"/>
    <xf numFmtId="9" fontId="0" fillId="0" borderId="0" xfId="1" applyFont="1" applyBorder="1"/>
    <xf numFmtId="14" fontId="18" fillId="9" borderId="0" xfId="0" applyNumberFormat="1" applyFont="1" applyFill="1"/>
    <xf numFmtId="0" fontId="2" fillId="9" borderId="0" xfId="0" applyFont="1" applyFill="1"/>
    <xf numFmtId="0" fontId="0" fillId="9" borderId="0" xfId="0" applyFill="1"/>
    <xf numFmtId="14" fontId="18" fillId="0" borderId="0" xfId="0" applyNumberFormat="1" applyFont="1"/>
    <xf numFmtId="14" fontId="10" fillId="0" borderId="0" xfId="0" applyNumberFormat="1" applyFont="1" applyAlignment="1">
      <alignment horizontal="left"/>
    </xf>
    <xf numFmtId="14" fontId="10" fillId="0" borderId="0" xfId="0" applyNumberFormat="1" applyFont="1" applyAlignment="1">
      <alignment horizontal="left" indent="1"/>
    </xf>
    <xf numFmtId="2" fontId="0" fillId="0" borderId="0" xfId="1" applyNumberFormat="1" applyFont="1" applyBorder="1"/>
    <xf numFmtId="2" fontId="0" fillId="0" borderId="8" xfId="0" applyNumberFormat="1" applyBorder="1"/>
    <xf numFmtId="2" fontId="1" fillId="8" borderId="0" xfId="0" applyNumberFormat="1" applyFont="1" applyFill="1"/>
    <xf numFmtId="14" fontId="10" fillId="9" borderId="0" xfId="0" applyNumberFormat="1" applyFont="1" applyFill="1" applyAlignment="1">
      <alignment horizontal="left"/>
    </xf>
    <xf numFmtId="14" fontId="10" fillId="9" borderId="0" xfId="0" applyNumberFormat="1" applyFont="1" applyFill="1" applyAlignment="1">
      <alignment horizontal="left" indent="1"/>
    </xf>
    <xf numFmtId="0" fontId="0" fillId="0" borderId="10" xfId="0" applyBorder="1"/>
    <xf numFmtId="165" fontId="0" fillId="0" borderId="10" xfId="0" applyNumberFormat="1" applyBorder="1"/>
    <xf numFmtId="0" fontId="0" fillId="10" borderId="10" xfId="0" applyFill="1" applyBorder="1"/>
    <xf numFmtId="169" fontId="0" fillId="0" borderId="10" xfId="0" applyNumberFormat="1" applyBorder="1"/>
    <xf numFmtId="1" fontId="0" fillId="0" borderId="10" xfId="0" applyNumberFormat="1" applyBorder="1"/>
    <xf numFmtId="2" fontId="0" fillId="10" borderId="10" xfId="0" applyNumberFormat="1" applyFill="1" applyBorder="1"/>
    <xf numFmtId="165" fontId="0" fillId="10" borderId="10" xfId="0" applyNumberFormat="1" applyFill="1" applyBorder="1"/>
    <xf numFmtId="2" fontId="0" fillId="7" borderId="10" xfId="0" applyNumberFormat="1" applyFill="1" applyBorder="1"/>
    <xf numFmtId="165" fontId="0" fillId="0" borderId="0" xfId="0" applyNumberFormat="1" applyAlignment="1">
      <alignment horizontal="right"/>
    </xf>
    <xf numFmtId="2" fontId="0" fillId="0" borderId="10" xfId="0" applyNumberFormat="1" applyBorder="1"/>
    <xf numFmtId="0" fontId="17" fillId="6" borderId="0" xfId="0" applyFont="1" applyFill="1"/>
    <xf numFmtId="0" fontId="1" fillId="6" borderId="0" xfId="0" applyFont="1" applyFill="1"/>
    <xf numFmtId="174" fontId="0" fillId="0" borderId="0" xfId="0" applyNumberFormat="1" applyAlignment="1">
      <alignment horizontal="right"/>
    </xf>
    <xf numFmtId="175" fontId="0" fillId="0" borderId="0" xfId="0" applyNumberFormat="1" applyAlignment="1">
      <alignment horizontal="right"/>
    </xf>
    <xf numFmtId="168" fontId="0" fillId="0" borderId="0" xfId="0" applyNumberFormat="1" applyAlignment="1">
      <alignment horizontal="right"/>
    </xf>
    <xf numFmtId="2" fontId="0" fillId="0" borderId="0" xfId="0" applyNumberFormat="1" applyAlignment="1">
      <alignment horizontal="center"/>
    </xf>
    <xf numFmtId="14" fontId="1" fillId="11" borderId="0" xfId="0" applyNumberFormat="1" applyFont="1" applyFill="1" applyAlignment="1">
      <alignment horizontal="left"/>
    </xf>
    <xf numFmtId="1" fontId="5" fillId="0" borderId="0" xfId="0" applyNumberFormat="1" applyFont="1" applyAlignment="1">
      <alignment horizontal="right"/>
    </xf>
    <xf numFmtId="1" fontId="0" fillId="0" borderId="0" xfId="0" applyNumberFormat="1" applyAlignment="1">
      <alignment horizontal="center"/>
    </xf>
    <xf numFmtId="0" fontId="0" fillId="8" borderId="6" xfId="0" applyFill="1" applyBorder="1"/>
    <xf numFmtId="0" fontId="1" fillId="8" borderId="2" xfId="0" applyFont="1" applyFill="1" applyBorder="1" applyAlignment="1">
      <alignment horizontal="left"/>
    </xf>
    <xf numFmtId="0" fontId="0" fillId="8" borderId="3" xfId="0" applyFill="1" applyBorder="1" applyAlignment="1">
      <alignment horizontal="left"/>
    </xf>
    <xf numFmtId="0" fontId="0" fillId="8" borderId="4" xfId="0" applyFill="1" applyBorder="1" applyAlignment="1">
      <alignment horizontal="left"/>
    </xf>
    <xf numFmtId="0" fontId="16" fillId="0" borderId="6" xfId="0" applyFont="1" applyBorder="1" applyAlignment="1">
      <alignment horizontal="left"/>
    </xf>
    <xf numFmtId="0" fontId="0" fillId="0" borderId="0" xfId="0" quotePrefix="1" applyAlignment="1">
      <alignment horizontal="right"/>
    </xf>
    <xf numFmtId="0" fontId="0" fillId="8" borderId="0" xfId="0" applyFill="1"/>
    <xf numFmtId="0" fontId="16" fillId="0" borderId="8" xfId="0" applyFont="1" applyBorder="1" applyAlignment="1">
      <alignment horizontal="left"/>
    </xf>
    <xf numFmtId="0" fontId="0" fillId="0" borderId="10" xfId="0" applyBorder="1" applyAlignment="1">
      <alignment horizontal="left"/>
    </xf>
    <xf numFmtId="0" fontId="0" fillId="8" borderId="0" xfId="0" applyFill="1" applyAlignment="1">
      <alignment horizontal="left"/>
    </xf>
    <xf numFmtId="0" fontId="1" fillId="8" borderId="5" xfId="0" applyFont="1" applyFill="1" applyBorder="1" applyAlignment="1">
      <alignment horizontal="left"/>
    </xf>
    <xf numFmtId="0" fontId="17" fillId="6" borderId="3" xfId="0" applyFont="1" applyFill="1" applyBorder="1"/>
    <xf numFmtId="0" fontId="17" fillId="6" borderId="4" xfId="0" applyFont="1" applyFill="1" applyBorder="1"/>
    <xf numFmtId="0" fontId="17" fillId="6" borderId="2" xfId="0" applyFont="1" applyFill="1" applyBorder="1"/>
    <xf numFmtId="0" fontId="17" fillId="6" borderId="2" xfId="0" applyFont="1" applyFill="1" applyBorder="1" applyAlignment="1">
      <alignment horizontal="left"/>
    </xf>
    <xf numFmtId="0" fontId="0" fillId="8" borderId="6" xfId="0" applyFill="1" applyBorder="1" applyAlignment="1">
      <alignment horizontal="left"/>
    </xf>
    <xf numFmtId="0" fontId="0" fillId="6" borderId="4" xfId="0" applyFill="1" applyBorder="1"/>
    <xf numFmtId="0" fontId="0" fillId="0" borderId="0" xfId="0" applyAlignment="1">
      <alignment horizontal="left" vertical="top"/>
    </xf>
    <xf numFmtId="0" fontId="6" fillId="0" borderId="0" xfId="2" applyAlignment="1">
      <alignment horizontal="left"/>
    </xf>
    <xf numFmtId="168" fontId="0" fillId="0" borderId="10" xfId="0" applyNumberFormat="1" applyBorder="1"/>
    <xf numFmtId="177" fontId="4" fillId="0" borderId="0" xfId="0" applyNumberFormat="1" applyFont="1" applyAlignment="1">
      <alignment horizontal="right"/>
    </xf>
    <xf numFmtId="177" fontId="0" fillId="0" borderId="0" xfId="0" applyNumberFormat="1"/>
    <xf numFmtId="176" fontId="0" fillId="0" borderId="0" xfId="0" applyNumberFormat="1"/>
    <xf numFmtId="0" fontId="19" fillId="0" borderId="0" xfId="0" applyFont="1"/>
    <xf numFmtId="0" fontId="0" fillId="6" borderId="3" xfId="0" applyFill="1" applyBorder="1"/>
    <xf numFmtId="0" fontId="1" fillId="12" borderId="5" xfId="0" applyFont="1" applyFill="1" applyBorder="1"/>
    <xf numFmtId="0" fontId="1" fillId="12" borderId="0" xfId="0" applyFont="1" applyFill="1"/>
    <xf numFmtId="0" fontId="1" fillId="0" borderId="0" xfId="0" applyFont="1"/>
    <xf numFmtId="0" fontId="1" fillId="12" borderId="2" xfId="0" applyFont="1" applyFill="1" applyBorder="1"/>
    <xf numFmtId="0" fontId="1" fillId="12" borderId="3" xfId="0" applyFont="1" applyFill="1" applyBorder="1"/>
    <xf numFmtId="0" fontId="1" fillId="0" borderId="5" xfId="0" applyFont="1" applyBorder="1"/>
    <xf numFmtId="0" fontId="0" fillId="7" borderId="10" xfId="0" applyFill="1" applyBorder="1"/>
    <xf numFmtId="0" fontId="10" fillId="0" borderId="0" xfId="2" applyFont="1" applyAlignment="1">
      <alignment horizontal="left"/>
    </xf>
    <xf numFmtId="178" fontId="0" fillId="0" borderId="0" xfId="0" applyNumberFormat="1"/>
    <xf numFmtId="179" fontId="2" fillId="0" borderId="0" xfId="0" applyNumberFormat="1" applyFont="1"/>
    <xf numFmtId="179" fontId="0" fillId="0" borderId="0" xfId="0" applyNumberFormat="1"/>
    <xf numFmtId="2" fontId="2" fillId="0" borderId="0" xfId="0" applyNumberFormat="1" applyFont="1"/>
    <xf numFmtId="169" fontId="2" fillId="0" borderId="0" xfId="0" applyNumberFormat="1" applyFont="1"/>
    <xf numFmtId="0" fontId="2" fillId="6" borderId="0" xfId="0" applyFont="1" applyFill="1"/>
    <xf numFmtId="180" fontId="0" fillId="0" borderId="0" xfId="0" applyNumberFormat="1" applyAlignment="1">
      <alignment horizontal="right"/>
    </xf>
    <xf numFmtId="165" fontId="0" fillId="0" borderId="5" xfId="0" applyNumberFormat="1" applyBorder="1"/>
    <xf numFmtId="0" fontId="0" fillId="0" borderId="11" xfId="0" applyBorder="1"/>
    <xf numFmtId="168" fontId="0" fillId="10" borderId="10" xfId="0" applyNumberFormat="1" applyFill="1" applyBorder="1"/>
    <xf numFmtId="0" fontId="0" fillId="6" borderId="0" xfId="0" applyFill="1"/>
    <xf numFmtId="0" fontId="0" fillId="12" borderId="0" xfId="0" applyFill="1"/>
    <xf numFmtId="0" fontId="0" fillId="12" borderId="6" xfId="0" applyFill="1" applyBorder="1"/>
    <xf numFmtId="0" fontId="0" fillId="12" borderId="3" xfId="0" applyFill="1" applyBorder="1"/>
    <xf numFmtId="0" fontId="0" fillId="12" borderId="4" xfId="0" applyFill="1" applyBorder="1"/>
    <xf numFmtId="0" fontId="20" fillId="0" borderId="0" xfId="0" applyFont="1"/>
    <xf numFmtId="2" fontId="0" fillId="0" borderId="0" xfId="0" applyNumberFormat="1" applyAlignment="1">
      <alignment horizontal="left"/>
    </xf>
    <xf numFmtId="165" fontId="0" fillId="0" borderId="12" xfId="0" applyNumberFormat="1" applyBorder="1"/>
    <xf numFmtId="1" fontId="0" fillId="0" borderId="12" xfId="0" applyNumberFormat="1" applyBorder="1"/>
    <xf numFmtId="169" fontId="0" fillId="0" borderId="14" xfId="0" applyNumberFormat="1" applyBorder="1"/>
    <xf numFmtId="1" fontId="0" fillId="0" borderId="14" xfId="0" applyNumberFormat="1" applyBorder="1"/>
    <xf numFmtId="0" fontId="17" fillId="0" borderId="8" xfId="0" applyFont="1" applyBorder="1"/>
    <xf numFmtId="0" fontId="1" fillId="0" borderId="8" xfId="0" applyFont="1" applyBorder="1"/>
    <xf numFmtId="0" fontId="2" fillId="0" borderId="8" xfId="0" applyFont="1" applyBorder="1"/>
    <xf numFmtId="0" fontId="0" fillId="7" borderId="13" xfId="0" applyFill="1" applyBorder="1"/>
    <xf numFmtId="0" fontId="0" fillId="7" borderId="15" xfId="0" applyFill="1" applyBorder="1"/>
    <xf numFmtId="0" fontId="0" fillId="7" borderId="0" xfId="0" applyFill="1"/>
    <xf numFmtId="14" fontId="1" fillId="2" borderId="0" xfId="0" applyNumberFormat="1" applyFont="1" applyFill="1" applyAlignment="1">
      <alignment horizontal="left"/>
    </xf>
    <xf numFmtId="175" fontId="0" fillId="0" borderId="0" xfId="0" applyNumberFormat="1" applyAlignment="1">
      <alignment horizontal="center"/>
    </xf>
    <xf numFmtId="168" fontId="0" fillId="0" borderId="0" xfId="0" applyNumberFormat="1" applyAlignment="1">
      <alignment horizontal="center"/>
    </xf>
    <xf numFmtId="2" fontId="0" fillId="0" borderId="0" xfId="0" applyNumberFormat="1" applyAlignment="1">
      <alignment horizontal="center"/>
    </xf>
    <xf numFmtId="0" fontId="17" fillId="6" borderId="3" xfId="0" applyFont="1" applyFill="1" applyBorder="1" applyAlignment="1">
      <alignment horizontal="left"/>
    </xf>
    <xf numFmtId="0" fontId="0" fillId="0" borderId="0" xfId="0" applyAlignment="1">
      <alignment horizontal="left"/>
    </xf>
    <xf numFmtId="0" fontId="0" fillId="9" borderId="0" xfId="0" applyFill="1" applyAlignment="1">
      <alignment horizontal="left" indent="2"/>
    </xf>
    <xf numFmtId="14" fontId="10" fillId="9" borderId="0" xfId="0" applyNumberFormat="1" applyFont="1" applyFill="1" applyAlignment="1">
      <alignment horizontal="left"/>
    </xf>
    <xf numFmtId="0" fontId="0" fillId="0" borderId="5" xfId="0" applyBorder="1" applyAlignment="1">
      <alignment horizontal="left" vertical="top" wrapText="1"/>
    </xf>
    <xf numFmtId="0" fontId="0" fillId="0" borderId="7" xfId="0" applyBorder="1" applyAlignment="1">
      <alignment horizontal="left" vertical="top" wrapText="1"/>
    </xf>
    <xf numFmtId="0" fontId="0" fillId="0" borderId="2" xfId="0" applyBorder="1" applyAlignment="1">
      <alignment horizontal="left" vertical="top" wrapText="1"/>
    </xf>
    <xf numFmtId="0" fontId="1" fillId="2" borderId="3" xfId="0" applyFont="1" applyFill="1" applyBorder="1"/>
    <xf numFmtId="0" fontId="1" fillId="2" borderId="4" xfId="0" applyFont="1" applyFill="1" applyBorder="1"/>
    <xf numFmtId="0" fontId="0" fillId="7" borderId="1" xfId="0" applyFill="1" applyBorder="1" applyAlignment="1">
      <alignment horizontal="left" wrapText="1"/>
    </xf>
    <xf numFmtId="0" fontId="0" fillId="7" borderId="8" xfId="0" applyFill="1" applyBorder="1" applyAlignment="1">
      <alignment horizontal="left" wrapText="1"/>
    </xf>
    <xf numFmtId="0" fontId="0" fillId="7" borderId="0" xfId="0" applyFill="1" applyAlignment="1">
      <alignment horizontal="left" wrapText="1"/>
    </xf>
    <xf numFmtId="0" fontId="0" fillId="0" borderId="0" xfId="0" applyAlignment="1">
      <alignment horizontal="left" vertical="top"/>
    </xf>
  </cellXfs>
  <cellStyles count="3">
    <cellStyle name="Hyperlink" xfId="2" builtinId="8"/>
    <cellStyle name="Normal" xfId="0" builtinId="0"/>
    <cellStyle name="Per 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06/relationships/rdRichValue" Target="richData/rdrichvalue.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64150594404075"/>
          <c:y val="6.59339922935165E-2"/>
          <c:w val="0.86903904453803738"/>
          <c:h val="0.74946324017190158"/>
        </c:manualLayout>
      </c:layout>
      <c:lineChart>
        <c:grouping val="standard"/>
        <c:varyColors val="0"/>
        <c:ser>
          <c:idx val="1"/>
          <c:order val="0"/>
          <c:tx>
            <c:strRef>
              <c:f>scenario_switches!$C$6</c:f>
              <c:strCache>
                <c:ptCount val="1"/>
                <c:pt idx="0">
                  <c:v>Share</c:v>
                </c:pt>
              </c:strCache>
            </c:strRef>
          </c:tx>
          <c:spPr>
            <a:ln w="28575" cap="rnd">
              <a:solidFill>
                <a:schemeClr val="accent2"/>
              </a:solidFill>
              <a:round/>
            </a:ln>
            <a:effectLst/>
          </c:spPr>
          <c:marker>
            <c:symbol val="none"/>
          </c:marker>
          <c:cat>
            <c:numRef>
              <c:f>scenario_switches!$B$7:$B$10</c:f>
              <c:numCache>
                <c:formatCode>General</c:formatCode>
                <c:ptCount val="4"/>
                <c:pt idx="0">
                  <c:v>2020</c:v>
                </c:pt>
                <c:pt idx="1">
                  <c:v>2030</c:v>
                </c:pt>
                <c:pt idx="2">
                  <c:v>2050</c:v>
                </c:pt>
                <c:pt idx="3">
                  <c:v>2060</c:v>
                </c:pt>
              </c:numCache>
            </c:numRef>
          </c:cat>
          <c:val>
            <c:numRef>
              <c:f>scenario_switches!$C$7:$C$10</c:f>
              <c:numCache>
                <c:formatCode>General</c:formatCode>
                <c:ptCount val="4"/>
                <c:pt idx="0">
                  <c:v>0.03</c:v>
                </c:pt>
                <c:pt idx="1">
                  <c:v>0.09</c:v>
                </c:pt>
                <c:pt idx="2">
                  <c:v>0.27</c:v>
                </c:pt>
                <c:pt idx="3">
                  <c:v>0.27</c:v>
                </c:pt>
              </c:numCache>
            </c:numRef>
          </c:val>
          <c:smooth val="0"/>
          <c:extLst>
            <c:ext xmlns:c16="http://schemas.microsoft.com/office/drawing/2014/chart" uri="{C3380CC4-5D6E-409C-BE32-E72D297353CC}">
              <c16:uniqueId val="{00000000-6300-495A-824A-96B73EFFBE10}"/>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scenario_switches!$C$17</c:f>
              <c:strCache>
                <c:ptCount val="1"/>
                <c:pt idx="0">
                  <c:v>Share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5D8-4E59-A95C-D34595A623F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5D8-4E59-A95C-D34595A623F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5D8-4E59-A95C-D34595A623F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scenario_switches!$B$18:$B$20</c:f>
              <c:strCache>
                <c:ptCount val="3"/>
                <c:pt idx="0">
                  <c:v>motorists</c:v>
                </c:pt>
                <c:pt idx="1">
                  <c:v>pedestrians</c:v>
                </c:pt>
                <c:pt idx="2">
                  <c:v>cyclists</c:v>
                </c:pt>
              </c:strCache>
            </c:strRef>
          </c:cat>
          <c:val>
            <c:numRef>
              <c:f>scenario_switches!$C$18:$C$20</c:f>
              <c:numCache>
                <c:formatCode>General</c:formatCode>
                <c:ptCount val="3"/>
                <c:pt idx="0">
                  <c:v>0.24199999999999999</c:v>
                </c:pt>
                <c:pt idx="1">
                  <c:v>0.58399999999999996</c:v>
                </c:pt>
                <c:pt idx="2">
                  <c:v>0.17399999999999999</c:v>
                </c:pt>
              </c:numCache>
            </c:numRef>
          </c:val>
          <c:extLst>
            <c:ext xmlns:c16="http://schemas.microsoft.com/office/drawing/2014/chart" uri="{C3380CC4-5D6E-409C-BE32-E72D297353CC}">
              <c16:uniqueId val="{00000006-65D8-4E59-A95C-D34595A623F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scenario_switches!$K$17</c:f>
              <c:strCache>
                <c:ptCount val="1"/>
                <c:pt idx="0">
                  <c:v>Share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672-4C64-BF53-ACCF697F6B2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672-4C64-BF53-ACCF697F6B2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672-4C64-BF53-ACCF697F6B2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scenario_switches!$J$18:$J$20</c:f>
              <c:strCache>
                <c:ptCount val="3"/>
                <c:pt idx="0">
                  <c:v>motorists</c:v>
                </c:pt>
                <c:pt idx="1">
                  <c:v>pedestrians</c:v>
                </c:pt>
                <c:pt idx="2">
                  <c:v>cyclists</c:v>
                </c:pt>
              </c:strCache>
            </c:strRef>
          </c:cat>
          <c:val>
            <c:numRef>
              <c:f>scenario_switches!$K$18:$K$20</c:f>
              <c:numCache>
                <c:formatCode>General</c:formatCode>
                <c:ptCount val="3"/>
                <c:pt idx="0">
                  <c:v>0.17</c:v>
                </c:pt>
                <c:pt idx="1">
                  <c:v>0.65</c:v>
                </c:pt>
                <c:pt idx="2">
                  <c:v>0.18</c:v>
                </c:pt>
              </c:numCache>
            </c:numRef>
          </c:val>
          <c:extLst>
            <c:ext xmlns:c16="http://schemas.microsoft.com/office/drawing/2014/chart" uri="{C3380CC4-5D6E-409C-BE32-E72D297353CC}">
              <c16:uniqueId val="{00000006-6672-4C64-BF53-ACCF697F6B2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74946324017190158"/>
        </c:manualLayout>
      </c:layout>
      <c:lineChart>
        <c:grouping val="standard"/>
        <c:varyColors val="0"/>
        <c:ser>
          <c:idx val="1"/>
          <c:order val="0"/>
          <c:tx>
            <c:strRef>
              <c:f>scenario_switches!$K$6</c:f>
              <c:strCache>
                <c:ptCount val="1"/>
                <c:pt idx="0">
                  <c:v>Share</c:v>
                </c:pt>
              </c:strCache>
            </c:strRef>
          </c:tx>
          <c:spPr>
            <a:ln w="28575" cap="rnd">
              <a:solidFill>
                <a:schemeClr val="accent2"/>
              </a:solidFill>
              <a:round/>
            </a:ln>
            <a:effectLst/>
          </c:spPr>
          <c:marker>
            <c:symbol val="none"/>
          </c:marker>
          <c:cat>
            <c:numRef>
              <c:f>scenario_switches!$J$7:$J$10</c:f>
              <c:numCache>
                <c:formatCode>General</c:formatCode>
                <c:ptCount val="4"/>
                <c:pt idx="0">
                  <c:v>2020</c:v>
                </c:pt>
                <c:pt idx="1">
                  <c:v>2030</c:v>
                </c:pt>
                <c:pt idx="2">
                  <c:v>2050</c:v>
                </c:pt>
                <c:pt idx="3">
                  <c:v>2060</c:v>
                </c:pt>
              </c:numCache>
            </c:numRef>
          </c:cat>
          <c:val>
            <c:numRef>
              <c:f>scenario_switches!$K$7:$K$10</c:f>
              <c:numCache>
                <c:formatCode>General</c:formatCode>
                <c:ptCount val="4"/>
                <c:pt idx="0">
                  <c:v>0.03</c:v>
                </c:pt>
                <c:pt idx="1">
                  <c:v>0.09</c:v>
                </c:pt>
                <c:pt idx="2">
                  <c:v>0.81</c:v>
                </c:pt>
                <c:pt idx="3">
                  <c:v>0.81</c:v>
                </c:pt>
              </c:numCache>
            </c:numRef>
          </c:val>
          <c:smooth val="0"/>
          <c:extLst>
            <c:ext xmlns:c16="http://schemas.microsoft.com/office/drawing/2014/chart" uri="{C3380CC4-5D6E-409C-BE32-E72D297353CC}">
              <c16:uniqueId val="{00000000-F559-44A0-BA43-61C032BAE864}"/>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74946324017190158"/>
        </c:manualLayout>
      </c:layout>
      <c:lineChart>
        <c:grouping val="standard"/>
        <c:varyColors val="0"/>
        <c:ser>
          <c:idx val="1"/>
          <c:order val="0"/>
          <c:tx>
            <c:strRef>
              <c:f>effect_lookups!$C$15</c:f>
              <c:strCache>
                <c:ptCount val="1"/>
                <c:pt idx="0">
                  <c:v>Added effect on bike subjective travel time</c:v>
                </c:pt>
              </c:strCache>
            </c:strRef>
          </c:tx>
          <c:spPr>
            <a:ln w="28575" cap="rnd">
              <a:solidFill>
                <a:schemeClr val="accent2"/>
              </a:solidFill>
              <a:round/>
            </a:ln>
            <a:effectLst/>
          </c:spPr>
          <c:marker>
            <c:symbol val="none"/>
          </c:marker>
          <c:cat>
            <c:numRef>
              <c:f>effect_lookups!$B$16:$B$27</c:f>
              <c:numCache>
                <c:formatCode>0.00</c:formatCode>
                <c:ptCount val="12"/>
                <c:pt idx="0" formatCode="General">
                  <c:v>0</c:v>
                </c:pt>
                <c:pt idx="1">
                  <c:v>0.2</c:v>
                </c:pt>
                <c:pt idx="2">
                  <c:v>0.4</c:v>
                </c:pt>
                <c:pt idx="3">
                  <c:v>0.60000000000000009</c:v>
                </c:pt>
                <c:pt idx="4">
                  <c:v>0.8</c:v>
                </c:pt>
                <c:pt idx="5" formatCode="General">
                  <c:v>1</c:v>
                </c:pt>
                <c:pt idx="6">
                  <c:v>1.3</c:v>
                </c:pt>
                <c:pt idx="7">
                  <c:v>1.6</c:v>
                </c:pt>
                <c:pt idx="8">
                  <c:v>1.9000000000000001</c:v>
                </c:pt>
                <c:pt idx="9">
                  <c:v>2.2000000000000002</c:v>
                </c:pt>
                <c:pt idx="10">
                  <c:v>2.5</c:v>
                </c:pt>
                <c:pt idx="11" formatCode="General">
                  <c:v>6</c:v>
                </c:pt>
              </c:numCache>
            </c:numRef>
          </c:cat>
          <c:val>
            <c:numRef>
              <c:f>effect_lookups!$C$16:$C$27</c:f>
              <c:numCache>
                <c:formatCode>0.00</c:formatCode>
                <c:ptCount val="12"/>
                <c:pt idx="0">
                  <c:v>0.1</c:v>
                </c:pt>
                <c:pt idx="1">
                  <c:v>9.6000000000000002E-2</c:v>
                </c:pt>
                <c:pt idx="2">
                  <c:v>8.4000000000000005E-2</c:v>
                </c:pt>
                <c:pt idx="3">
                  <c:v>6.4000000000000001E-2</c:v>
                </c:pt>
                <c:pt idx="4">
                  <c:v>3.599999999999999E-2</c:v>
                </c:pt>
                <c:pt idx="5">
                  <c:v>0</c:v>
                </c:pt>
                <c:pt idx="6">
                  <c:v>-3.599999999999999E-2</c:v>
                </c:pt>
                <c:pt idx="7">
                  <c:v>-8.5000000000000006E-2</c:v>
                </c:pt>
                <c:pt idx="8">
                  <c:v>-0.14000000000000001</c:v>
                </c:pt>
                <c:pt idx="9">
                  <c:v>-0.19</c:v>
                </c:pt>
                <c:pt idx="10">
                  <c:v>-0.2</c:v>
                </c:pt>
                <c:pt idx="11">
                  <c:v>-0.2</c:v>
                </c:pt>
              </c:numCache>
            </c:numRef>
          </c:val>
          <c:smooth val="0"/>
          <c:extLst>
            <c:ext xmlns:c16="http://schemas.microsoft.com/office/drawing/2014/chart" uri="{C3380CC4-5D6E-409C-BE32-E72D297353CC}">
              <c16:uniqueId val="{00000001-8EA5-44B2-A4A8-4527D44EF065}"/>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74946324017190158"/>
        </c:manualLayout>
      </c:layout>
      <c:lineChart>
        <c:grouping val="standard"/>
        <c:varyColors val="0"/>
        <c:ser>
          <c:idx val="1"/>
          <c:order val="0"/>
          <c:tx>
            <c:strRef>
              <c:f>effect_lookups!$C$322</c:f>
              <c:strCache>
                <c:ptCount val="1"/>
                <c:pt idx="0">
                  <c:v>Effect on construction rate</c:v>
                </c:pt>
              </c:strCache>
            </c:strRef>
          </c:tx>
          <c:spPr>
            <a:ln w="28575" cap="rnd">
              <a:solidFill>
                <a:schemeClr val="accent2"/>
              </a:solidFill>
              <a:round/>
            </a:ln>
            <a:effectLst/>
          </c:spPr>
          <c:marker>
            <c:symbol val="none"/>
          </c:marker>
          <c:cat>
            <c:numRef>
              <c:f>effect_lookups!$B$323:$B$338</c:f>
              <c:numCache>
                <c:formatCode>General</c:formatCode>
                <c:ptCount val="16"/>
                <c:pt idx="0">
                  <c:v>0</c:v>
                </c:pt>
                <c:pt idx="1">
                  <c:v>0.1</c:v>
                </c:pt>
                <c:pt idx="2">
                  <c:v>0.2</c:v>
                </c:pt>
                <c:pt idx="3">
                  <c:v>0.3</c:v>
                </c:pt>
                <c:pt idx="4">
                  <c:v>0.4</c:v>
                </c:pt>
                <c:pt idx="5">
                  <c:v>0.5</c:v>
                </c:pt>
                <c:pt idx="6">
                  <c:v>0.6</c:v>
                </c:pt>
                <c:pt idx="7">
                  <c:v>0.7</c:v>
                </c:pt>
                <c:pt idx="8">
                  <c:v>0.8</c:v>
                </c:pt>
                <c:pt idx="9">
                  <c:v>0.9</c:v>
                </c:pt>
                <c:pt idx="10">
                  <c:v>1</c:v>
                </c:pt>
                <c:pt idx="11">
                  <c:v>1.1000000000000001</c:v>
                </c:pt>
                <c:pt idx="12">
                  <c:v>1.2</c:v>
                </c:pt>
                <c:pt idx="13">
                  <c:v>1.3</c:v>
                </c:pt>
                <c:pt idx="14">
                  <c:v>1.4</c:v>
                </c:pt>
                <c:pt idx="15">
                  <c:v>2</c:v>
                </c:pt>
              </c:numCache>
            </c:numRef>
          </c:cat>
          <c:val>
            <c:numRef>
              <c:f>effect_lookups!$C$323:$C$338</c:f>
              <c:numCache>
                <c:formatCode>0.00</c:formatCode>
                <c:ptCount val="16"/>
                <c:pt idx="0">
                  <c:v>1.67</c:v>
                </c:pt>
                <c:pt idx="1">
                  <c:v>1.6633</c:v>
                </c:pt>
                <c:pt idx="2">
                  <c:v>1.6432</c:v>
                </c:pt>
                <c:pt idx="3">
                  <c:v>1.6096999999999999</c:v>
                </c:pt>
                <c:pt idx="4">
                  <c:v>1.5628</c:v>
                </c:pt>
                <c:pt idx="5">
                  <c:v>1.5024999999999999</c:v>
                </c:pt>
                <c:pt idx="6">
                  <c:v>1.4287999999999998</c:v>
                </c:pt>
                <c:pt idx="7">
                  <c:v>1.3416999999999999</c:v>
                </c:pt>
                <c:pt idx="8">
                  <c:v>1.2411999999999999</c:v>
                </c:pt>
                <c:pt idx="9">
                  <c:v>1.1273</c:v>
                </c:pt>
                <c:pt idx="10">
                  <c:v>1</c:v>
                </c:pt>
                <c:pt idx="11">
                  <c:v>0.5</c:v>
                </c:pt>
                <c:pt idx="12">
                  <c:v>0.1</c:v>
                </c:pt>
                <c:pt idx="13">
                  <c:v>0</c:v>
                </c:pt>
                <c:pt idx="14">
                  <c:v>0</c:v>
                </c:pt>
                <c:pt idx="15">
                  <c:v>0</c:v>
                </c:pt>
              </c:numCache>
            </c:numRef>
          </c:val>
          <c:smooth val="0"/>
          <c:extLst>
            <c:ext xmlns:c16="http://schemas.microsoft.com/office/drawing/2014/chart" uri="{C3380CC4-5D6E-409C-BE32-E72D297353CC}">
              <c16:uniqueId val="{00000000-5F1C-44BF-921E-61EF5B59E811}"/>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74946324017190158"/>
        </c:manualLayout>
      </c:layout>
      <c:lineChart>
        <c:grouping val="standard"/>
        <c:varyColors val="0"/>
        <c:ser>
          <c:idx val="1"/>
          <c:order val="0"/>
          <c:tx>
            <c:strRef>
              <c:f>effect_lookups!$C$229</c:f>
              <c:strCache>
                <c:ptCount val="1"/>
                <c:pt idx="0">
                  <c:v>Parking search and egress time</c:v>
                </c:pt>
              </c:strCache>
            </c:strRef>
          </c:tx>
          <c:spPr>
            <a:ln w="28575" cap="rnd">
              <a:solidFill>
                <a:schemeClr val="accent2"/>
              </a:solidFill>
              <a:round/>
            </a:ln>
            <a:effectLst/>
          </c:spPr>
          <c:marker>
            <c:symbol val="none"/>
          </c:marker>
          <c:cat>
            <c:numRef>
              <c:f>effect_lookups!$B$230:$B$242</c:f>
              <c:numCache>
                <c:formatCode>General</c:formatCode>
                <c:ptCount val="1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formatCode="0.0">
                  <c:v>2.2189999999999999</c:v>
                </c:pt>
                <c:pt idx="12">
                  <c:v>15</c:v>
                </c:pt>
              </c:numCache>
            </c:numRef>
          </c:cat>
          <c:val>
            <c:numRef>
              <c:f>effect_lookups!$C$230:$C$242</c:f>
              <c:numCache>
                <c:formatCode>0.00</c:formatCode>
                <c:ptCount val="13"/>
                <c:pt idx="0">
                  <c:v>1.2301203760653721</c:v>
                </c:pt>
                <c:pt idx="1">
                  <c:v>1.2209155610227571</c:v>
                </c:pt>
                <c:pt idx="2">
                  <c:v>1.1933011158949125</c:v>
                </c:pt>
                <c:pt idx="3">
                  <c:v>1.147277040681838</c:v>
                </c:pt>
                <c:pt idx="4">
                  <c:v>1.0828433353835338</c:v>
                </c:pt>
                <c:pt idx="5">
                  <c:v>1</c:v>
                </c:pt>
                <c:pt idx="6">
                  <c:v>0.91</c:v>
                </c:pt>
                <c:pt idx="7">
                  <c:v>0.78</c:v>
                </c:pt>
                <c:pt idx="8">
                  <c:v>0.68</c:v>
                </c:pt>
                <c:pt idx="9">
                  <c:v>0.58000000000000007</c:v>
                </c:pt>
                <c:pt idx="10">
                  <c:v>0.52</c:v>
                </c:pt>
                <c:pt idx="11">
                  <c:v>0.43932870573763289</c:v>
                </c:pt>
                <c:pt idx="12">
                  <c:v>0.43932870573763289</c:v>
                </c:pt>
              </c:numCache>
            </c:numRef>
          </c:val>
          <c:smooth val="0"/>
          <c:extLst>
            <c:ext xmlns:c16="http://schemas.microsoft.com/office/drawing/2014/chart" uri="{C3380CC4-5D6E-409C-BE32-E72D297353CC}">
              <c16:uniqueId val="{00000000-7F21-4D6E-B184-44399D979CEE}"/>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65383481777892516"/>
        </c:manualLayout>
      </c:layout>
      <c:lineChart>
        <c:grouping val="standard"/>
        <c:varyColors val="0"/>
        <c:ser>
          <c:idx val="1"/>
          <c:order val="0"/>
          <c:tx>
            <c:strRef>
              <c:f>effect_lookups!$C$254</c:f>
              <c:strCache>
                <c:ptCount val="1"/>
                <c:pt idx="0">
                  <c:v>Car adoption </c:v>
                </c:pt>
              </c:strCache>
            </c:strRef>
          </c:tx>
          <c:spPr>
            <a:ln w="28575" cap="rnd">
              <a:solidFill>
                <a:schemeClr val="accent2"/>
              </a:solidFill>
              <a:round/>
            </a:ln>
            <a:effectLst/>
          </c:spPr>
          <c:marker>
            <c:symbol val="none"/>
          </c:marker>
          <c:cat>
            <c:numRef>
              <c:f>effect_lookups!$B$255:$B$267</c:f>
              <c:numCache>
                <c:formatCode>General</c:formatCode>
                <c:ptCount val="13"/>
                <c:pt idx="0">
                  <c:v>0</c:v>
                </c:pt>
                <c:pt idx="1">
                  <c:v>0.5</c:v>
                </c:pt>
                <c:pt idx="2">
                  <c:v>0.6</c:v>
                </c:pt>
                <c:pt idx="3">
                  <c:v>0.7</c:v>
                </c:pt>
                <c:pt idx="4">
                  <c:v>0.8</c:v>
                </c:pt>
                <c:pt idx="5">
                  <c:v>0.9</c:v>
                </c:pt>
                <c:pt idx="6">
                  <c:v>1</c:v>
                </c:pt>
                <c:pt idx="7">
                  <c:v>1.1000000000000001</c:v>
                </c:pt>
                <c:pt idx="8">
                  <c:v>1.2000000000000002</c:v>
                </c:pt>
                <c:pt idx="9">
                  <c:v>1.3000000000000003</c:v>
                </c:pt>
                <c:pt idx="10">
                  <c:v>1.4000000000000004</c:v>
                </c:pt>
                <c:pt idx="11">
                  <c:v>1.5000000000000004</c:v>
                </c:pt>
                <c:pt idx="12">
                  <c:v>4</c:v>
                </c:pt>
              </c:numCache>
            </c:numRef>
          </c:cat>
          <c:val>
            <c:numRef>
              <c:f>effect_lookups!$C$255:$C$267</c:f>
              <c:numCache>
                <c:formatCode>0.00</c:formatCode>
                <c:ptCount val="13"/>
                <c:pt idx="0">
                  <c:v>1.3</c:v>
                </c:pt>
                <c:pt idx="1">
                  <c:v>1.3</c:v>
                </c:pt>
                <c:pt idx="2">
                  <c:v>1.29</c:v>
                </c:pt>
                <c:pt idx="3">
                  <c:v>1.27</c:v>
                </c:pt>
                <c:pt idx="4">
                  <c:v>1.23</c:v>
                </c:pt>
                <c:pt idx="5">
                  <c:v>1.1299999999999999</c:v>
                </c:pt>
                <c:pt idx="6">
                  <c:v>1</c:v>
                </c:pt>
                <c:pt idx="7">
                  <c:v>0.87</c:v>
                </c:pt>
                <c:pt idx="8">
                  <c:v>0.77</c:v>
                </c:pt>
                <c:pt idx="9">
                  <c:v>0.73</c:v>
                </c:pt>
                <c:pt idx="10">
                  <c:v>0.71</c:v>
                </c:pt>
                <c:pt idx="11">
                  <c:v>0.7</c:v>
                </c:pt>
                <c:pt idx="12">
                  <c:v>0.7</c:v>
                </c:pt>
              </c:numCache>
            </c:numRef>
          </c:val>
          <c:smooth val="0"/>
          <c:extLst>
            <c:ext xmlns:c16="http://schemas.microsoft.com/office/drawing/2014/chart" uri="{C3380CC4-5D6E-409C-BE32-E72D297353CC}">
              <c16:uniqueId val="{00000000-0DB6-4540-B674-1997D62E5FF4}"/>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74946324017190158"/>
        </c:manualLayout>
      </c:layout>
      <c:lineChart>
        <c:grouping val="standard"/>
        <c:varyColors val="0"/>
        <c:ser>
          <c:idx val="1"/>
          <c:order val="0"/>
          <c:tx>
            <c:strRef>
              <c:f>effect_lookups!$C$350</c:f>
              <c:strCache>
                <c:ptCount val="1"/>
                <c:pt idx="0">
                  <c:v>Immigration rate</c:v>
                </c:pt>
              </c:strCache>
            </c:strRef>
          </c:tx>
          <c:spPr>
            <a:ln w="28575" cap="rnd">
              <a:solidFill>
                <a:schemeClr val="accent2"/>
              </a:solidFill>
              <a:round/>
            </a:ln>
            <a:effectLst/>
          </c:spPr>
          <c:marker>
            <c:symbol val="none"/>
          </c:marker>
          <c:cat>
            <c:numRef>
              <c:f>effect_lookups!$B$351:$B$362</c:f>
              <c:numCache>
                <c:formatCode>General</c:formatCode>
                <c:ptCount val="12"/>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2</c:v>
                </c:pt>
              </c:numCache>
            </c:numRef>
          </c:cat>
          <c:val>
            <c:numRef>
              <c:f>effect_lookups!$C$351:$C$362</c:f>
              <c:numCache>
                <c:formatCode>0.00</c:formatCode>
                <c:ptCount val="12"/>
                <c:pt idx="0">
                  <c:v>0</c:v>
                </c:pt>
                <c:pt idx="1">
                  <c:v>0.19</c:v>
                </c:pt>
                <c:pt idx="2">
                  <c:v>0.36</c:v>
                </c:pt>
                <c:pt idx="3">
                  <c:v>0.51</c:v>
                </c:pt>
                <c:pt idx="4">
                  <c:v>0.64</c:v>
                </c:pt>
                <c:pt idx="5">
                  <c:v>0.75</c:v>
                </c:pt>
                <c:pt idx="6">
                  <c:v>0.84</c:v>
                </c:pt>
                <c:pt idx="7">
                  <c:v>0.90999999999999992</c:v>
                </c:pt>
                <c:pt idx="8">
                  <c:v>0.96</c:v>
                </c:pt>
                <c:pt idx="9">
                  <c:v>0.99</c:v>
                </c:pt>
                <c:pt idx="10">
                  <c:v>1</c:v>
                </c:pt>
                <c:pt idx="11">
                  <c:v>1</c:v>
                </c:pt>
              </c:numCache>
            </c:numRef>
          </c:val>
          <c:smooth val="0"/>
          <c:extLst>
            <c:ext xmlns:c16="http://schemas.microsoft.com/office/drawing/2014/chart" uri="{C3380CC4-5D6E-409C-BE32-E72D297353CC}">
              <c16:uniqueId val="{00000000-E3DD-4732-A4E6-E90085C82D64}"/>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74946324017190158"/>
        </c:manualLayout>
      </c:layout>
      <c:lineChart>
        <c:grouping val="standard"/>
        <c:varyColors val="0"/>
        <c:ser>
          <c:idx val="1"/>
          <c:order val="0"/>
          <c:tx>
            <c:strRef>
              <c:f>effect_lookups!$C$374</c:f>
              <c:strCache>
                <c:ptCount val="1"/>
                <c:pt idx="0">
                  <c:v>Construction rate</c:v>
                </c:pt>
              </c:strCache>
            </c:strRef>
          </c:tx>
          <c:spPr>
            <a:ln w="28575" cap="rnd">
              <a:solidFill>
                <a:schemeClr val="accent2"/>
              </a:solidFill>
              <a:round/>
            </a:ln>
            <a:effectLst/>
          </c:spPr>
          <c:marker>
            <c:symbol val="none"/>
          </c:marker>
          <c:cat>
            <c:numRef>
              <c:f>effect_lookups!$B$375:$B$380</c:f>
              <c:numCache>
                <c:formatCode>General</c:formatCode>
                <c:ptCount val="6"/>
                <c:pt idx="0">
                  <c:v>0</c:v>
                </c:pt>
                <c:pt idx="1">
                  <c:v>0.5</c:v>
                </c:pt>
                <c:pt idx="2">
                  <c:v>1</c:v>
                </c:pt>
                <c:pt idx="3">
                  <c:v>2</c:v>
                </c:pt>
                <c:pt idx="4">
                  <c:v>4</c:v>
                </c:pt>
                <c:pt idx="5">
                  <c:v>8</c:v>
                </c:pt>
              </c:numCache>
            </c:numRef>
          </c:cat>
          <c:val>
            <c:numRef>
              <c:f>effect_lookups!$C$375:$C$380</c:f>
              <c:numCache>
                <c:formatCode>0.00</c:formatCode>
                <c:ptCount val="6"/>
                <c:pt idx="0" formatCode="General">
                  <c:v>1.5</c:v>
                </c:pt>
                <c:pt idx="1">
                  <c:v>1.5</c:v>
                </c:pt>
                <c:pt idx="2">
                  <c:v>1</c:v>
                </c:pt>
                <c:pt idx="3">
                  <c:v>0.67</c:v>
                </c:pt>
                <c:pt idx="4">
                  <c:v>0.44666666666666671</c:v>
                </c:pt>
                <c:pt idx="5">
                  <c:v>0.29777777777777781</c:v>
                </c:pt>
              </c:numCache>
            </c:numRef>
          </c:val>
          <c:smooth val="0"/>
          <c:extLst>
            <c:ext xmlns:c16="http://schemas.microsoft.com/office/drawing/2014/chart" uri="{C3380CC4-5D6E-409C-BE32-E72D297353CC}">
              <c16:uniqueId val="{00000000-2A90-4CD3-A5F1-7328BE856A44}"/>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74946324017190158"/>
        </c:manualLayout>
      </c:layout>
      <c:lineChart>
        <c:grouping val="standard"/>
        <c:varyColors val="0"/>
        <c:ser>
          <c:idx val="1"/>
          <c:order val="0"/>
          <c:tx>
            <c:strRef>
              <c:f>effect_lookups!$C$39</c:f>
              <c:strCache>
                <c:ptCount val="1"/>
                <c:pt idx="0">
                  <c:v>Added effect on bike subjective travel time</c:v>
                </c:pt>
              </c:strCache>
            </c:strRef>
          </c:tx>
          <c:spPr>
            <a:ln w="28575" cap="rnd">
              <a:solidFill>
                <a:schemeClr val="accent2"/>
              </a:solidFill>
              <a:round/>
            </a:ln>
            <a:effectLst/>
          </c:spPr>
          <c:marker>
            <c:symbol val="none"/>
          </c:marker>
          <c:cat>
            <c:numRef>
              <c:f>effect_lookups!$B$40:$B$50</c:f>
              <c:numCache>
                <c:formatCode>General</c:formatCode>
                <c:ptCount val="11"/>
                <c:pt idx="0">
                  <c:v>0</c:v>
                </c:pt>
                <c:pt idx="1">
                  <c:v>0.2</c:v>
                </c:pt>
                <c:pt idx="2">
                  <c:v>0.4</c:v>
                </c:pt>
                <c:pt idx="3">
                  <c:v>0.60000000000000009</c:v>
                </c:pt>
                <c:pt idx="4">
                  <c:v>0.8</c:v>
                </c:pt>
                <c:pt idx="5">
                  <c:v>1</c:v>
                </c:pt>
                <c:pt idx="6">
                  <c:v>1.1000000000000001</c:v>
                </c:pt>
                <c:pt idx="7">
                  <c:v>1.2</c:v>
                </c:pt>
                <c:pt idx="8">
                  <c:v>1.3</c:v>
                </c:pt>
                <c:pt idx="9">
                  <c:v>1.4</c:v>
                </c:pt>
                <c:pt idx="10">
                  <c:v>1.5999999999999999</c:v>
                </c:pt>
              </c:numCache>
            </c:numRef>
          </c:cat>
          <c:val>
            <c:numRef>
              <c:f>effect_lookups!$C$40:$C$50</c:f>
              <c:numCache>
                <c:formatCode>0.00</c:formatCode>
                <c:ptCount val="11"/>
                <c:pt idx="0">
                  <c:v>-0.05</c:v>
                </c:pt>
                <c:pt idx="1">
                  <c:v>-4.8000000000000001E-2</c:v>
                </c:pt>
                <c:pt idx="2">
                  <c:v>-4.2000000000000003E-2</c:v>
                </c:pt>
                <c:pt idx="3">
                  <c:v>-3.2000000000000001E-2</c:v>
                </c:pt>
                <c:pt idx="4">
                  <c:v>-1.7999999999999995E-2</c:v>
                </c:pt>
                <c:pt idx="5">
                  <c:v>0</c:v>
                </c:pt>
                <c:pt idx="6">
                  <c:v>1.7999999999999995E-2</c:v>
                </c:pt>
                <c:pt idx="7">
                  <c:v>3.2000000000000001E-2</c:v>
                </c:pt>
                <c:pt idx="8">
                  <c:v>4.2000000000000003E-2</c:v>
                </c:pt>
                <c:pt idx="9">
                  <c:v>4.8000000000000001E-2</c:v>
                </c:pt>
                <c:pt idx="10">
                  <c:v>0.05</c:v>
                </c:pt>
              </c:numCache>
            </c:numRef>
          </c:val>
          <c:smooth val="0"/>
          <c:extLst>
            <c:ext xmlns:c16="http://schemas.microsoft.com/office/drawing/2014/chart" uri="{C3380CC4-5D6E-409C-BE32-E72D297353CC}">
              <c16:uniqueId val="{00000000-AF8F-40FF-B4A8-F5A6B5910D3B}"/>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74946324017190158"/>
        </c:manualLayout>
      </c:layout>
      <c:lineChart>
        <c:grouping val="standard"/>
        <c:varyColors val="0"/>
        <c:ser>
          <c:idx val="1"/>
          <c:order val="0"/>
          <c:tx>
            <c:strRef>
              <c:f>effect_lookups!$C$62</c:f>
              <c:strCache>
                <c:ptCount val="1"/>
                <c:pt idx="0">
                  <c:v>Added effect on bike subjective travel time</c:v>
                </c:pt>
              </c:strCache>
            </c:strRef>
          </c:tx>
          <c:spPr>
            <a:ln w="28575" cap="rnd">
              <a:solidFill>
                <a:schemeClr val="accent2"/>
              </a:solidFill>
              <a:round/>
            </a:ln>
            <a:effectLst/>
          </c:spPr>
          <c:marker>
            <c:symbol val="none"/>
          </c:marker>
          <c:cat>
            <c:numRef>
              <c:f>effect_lookups!$B$64:$B$74</c:f>
              <c:numCache>
                <c:formatCode>0.00</c:formatCode>
                <c:ptCount val="11"/>
                <c:pt idx="0">
                  <c:v>0.42</c:v>
                </c:pt>
                <c:pt idx="1">
                  <c:v>0.53600000000000003</c:v>
                </c:pt>
                <c:pt idx="2">
                  <c:v>0.65200000000000002</c:v>
                </c:pt>
                <c:pt idx="3">
                  <c:v>0.76800000000000002</c:v>
                </c:pt>
                <c:pt idx="4">
                  <c:v>0.88400000000000001</c:v>
                </c:pt>
                <c:pt idx="5" formatCode="General">
                  <c:v>1</c:v>
                </c:pt>
                <c:pt idx="6">
                  <c:v>1.1339999999999999</c:v>
                </c:pt>
                <c:pt idx="7">
                  <c:v>1.2679999999999998</c:v>
                </c:pt>
                <c:pt idx="8">
                  <c:v>1.4019999999999997</c:v>
                </c:pt>
                <c:pt idx="9">
                  <c:v>1.5359999999999996</c:v>
                </c:pt>
                <c:pt idx="10">
                  <c:v>1.67</c:v>
                </c:pt>
              </c:numCache>
            </c:numRef>
          </c:cat>
          <c:val>
            <c:numRef>
              <c:f>effect_lookups!$C$64:$C$74</c:f>
              <c:numCache>
                <c:formatCode>0.00</c:formatCode>
                <c:ptCount val="11"/>
                <c:pt idx="0">
                  <c:v>-0.1</c:v>
                </c:pt>
                <c:pt idx="1">
                  <c:v>-0.09</c:v>
                </c:pt>
                <c:pt idx="2">
                  <c:v>-7.4999999999999997E-2</c:v>
                </c:pt>
                <c:pt idx="3">
                  <c:v>-5.5E-2</c:v>
                </c:pt>
                <c:pt idx="4">
                  <c:v>-0.03</c:v>
                </c:pt>
                <c:pt idx="5">
                  <c:v>0</c:v>
                </c:pt>
                <c:pt idx="6">
                  <c:v>0.03</c:v>
                </c:pt>
                <c:pt idx="7">
                  <c:v>6.5000000000000002E-2</c:v>
                </c:pt>
                <c:pt idx="8">
                  <c:v>0.1</c:v>
                </c:pt>
                <c:pt idx="9">
                  <c:v>0.14499999999999999</c:v>
                </c:pt>
                <c:pt idx="10">
                  <c:v>0.2</c:v>
                </c:pt>
              </c:numCache>
            </c:numRef>
          </c:val>
          <c:smooth val="0"/>
          <c:extLst>
            <c:ext xmlns:c16="http://schemas.microsoft.com/office/drawing/2014/chart" uri="{C3380CC4-5D6E-409C-BE32-E72D297353CC}">
              <c16:uniqueId val="{00000000-12AB-448E-BEDF-7E2279F31505}"/>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74946324017190158"/>
        </c:manualLayout>
      </c:layout>
      <c:lineChart>
        <c:grouping val="standard"/>
        <c:varyColors val="0"/>
        <c:ser>
          <c:idx val="1"/>
          <c:order val="0"/>
          <c:tx>
            <c:strRef>
              <c:f>effect_lookups!$C$87</c:f>
              <c:strCache>
                <c:ptCount val="1"/>
                <c:pt idx="0">
                  <c:v>Added effect on bike subjective travel time</c:v>
                </c:pt>
              </c:strCache>
            </c:strRef>
          </c:tx>
          <c:spPr>
            <a:ln w="28575" cap="rnd">
              <a:solidFill>
                <a:schemeClr val="accent2"/>
              </a:solidFill>
              <a:round/>
            </a:ln>
            <a:effectLst/>
          </c:spPr>
          <c:marker>
            <c:symbol val="none"/>
          </c:marker>
          <c:cat>
            <c:numRef>
              <c:f>effect_lookups!$B$88:$B$98</c:f>
              <c:numCache>
                <c:formatCode>0.00</c:formatCode>
                <c:ptCount val="11"/>
                <c:pt idx="0" formatCode="General">
                  <c:v>0</c:v>
                </c:pt>
                <c:pt idx="1">
                  <c:v>0.2</c:v>
                </c:pt>
                <c:pt idx="2">
                  <c:v>0.4</c:v>
                </c:pt>
                <c:pt idx="3">
                  <c:v>0.60000000000000009</c:v>
                </c:pt>
                <c:pt idx="4">
                  <c:v>0.8</c:v>
                </c:pt>
                <c:pt idx="5" formatCode="General">
                  <c:v>1</c:v>
                </c:pt>
                <c:pt idx="6">
                  <c:v>1.3</c:v>
                </c:pt>
                <c:pt idx="7">
                  <c:v>1.6</c:v>
                </c:pt>
                <c:pt idx="8">
                  <c:v>1.9000000000000001</c:v>
                </c:pt>
                <c:pt idx="9">
                  <c:v>2.2000000000000002</c:v>
                </c:pt>
                <c:pt idx="10">
                  <c:v>2.5</c:v>
                </c:pt>
              </c:numCache>
            </c:numRef>
          </c:cat>
          <c:val>
            <c:numRef>
              <c:f>effect_lookups!$C$88:$C$98</c:f>
              <c:numCache>
                <c:formatCode>0.00</c:formatCode>
                <c:ptCount val="11"/>
                <c:pt idx="0">
                  <c:v>1.5</c:v>
                </c:pt>
                <c:pt idx="1">
                  <c:v>1.48</c:v>
                </c:pt>
                <c:pt idx="2">
                  <c:v>1.42</c:v>
                </c:pt>
                <c:pt idx="3">
                  <c:v>1.3199999999999998</c:v>
                </c:pt>
                <c:pt idx="4">
                  <c:v>1.18</c:v>
                </c:pt>
                <c:pt idx="5">
                  <c:v>1</c:v>
                </c:pt>
                <c:pt idx="6">
                  <c:v>0.92800000000000005</c:v>
                </c:pt>
                <c:pt idx="7">
                  <c:v>0.87200000000000011</c:v>
                </c:pt>
                <c:pt idx="8">
                  <c:v>0.83200000000000007</c:v>
                </c:pt>
                <c:pt idx="9">
                  <c:v>0.80800000000000005</c:v>
                </c:pt>
                <c:pt idx="10">
                  <c:v>0.8</c:v>
                </c:pt>
              </c:numCache>
            </c:numRef>
          </c:val>
          <c:smooth val="0"/>
          <c:extLst>
            <c:ext xmlns:c16="http://schemas.microsoft.com/office/drawing/2014/chart" uri="{C3380CC4-5D6E-409C-BE32-E72D297353CC}">
              <c16:uniqueId val="{00000000-DD71-41AB-B755-B863DF87324C}"/>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74946324017190158"/>
        </c:manualLayout>
      </c:layout>
      <c:lineChart>
        <c:grouping val="standard"/>
        <c:varyColors val="0"/>
        <c:ser>
          <c:idx val="1"/>
          <c:order val="0"/>
          <c:tx>
            <c:strRef>
              <c:f>effect_lookups!$C$135</c:f>
              <c:strCache>
                <c:ptCount val="1"/>
                <c:pt idx="0">
                  <c:v>Efect on contact fruitfulness</c:v>
                </c:pt>
              </c:strCache>
            </c:strRef>
          </c:tx>
          <c:spPr>
            <a:ln w="28575" cap="rnd">
              <a:solidFill>
                <a:schemeClr val="accent2"/>
              </a:solidFill>
              <a:round/>
            </a:ln>
            <a:effectLst/>
          </c:spPr>
          <c:marker>
            <c:symbol val="none"/>
          </c:marker>
          <c:cat>
            <c:numRef>
              <c:f>effect_lookups!$B$88:$B$98</c:f>
              <c:numCache>
                <c:formatCode>0.00</c:formatCode>
                <c:ptCount val="11"/>
                <c:pt idx="0" formatCode="General">
                  <c:v>0</c:v>
                </c:pt>
                <c:pt idx="1">
                  <c:v>0.2</c:v>
                </c:pt>
                <c:pt idx="2">
                  <c:v>0.4</c:v>
                </c:pt>
                <c:pt idx="3">
                  <c:v>0.60000000000000009</c:v>
                </c:pt>
                <c:pt idx="4">
                  <c:v>0.8</c:v>
                </c:pt>
                <c:pt idx="5" formatCode="General">
                  <c:v>1</c:v>
                </c:pt>
                <c:pt idx="6">
                  <c:v>1.3</c:v>
                </c:pt>
                <c:pt idx="7">
                  <c:v>1.6</c:v>
                </c:pt>
                <c:pt idx="8">
                  <c:v>1.9000000000000001</c:v>
                </c:pt>
                <c:pt idx="9">
                  <c:v>2.2000000000000002</c:v>
                </c:pt>
                <c:pt idx="10">
                  <c:v>2.5</c:v>
                </c:pt>
              </c:numCache>
            </c:numRef>
          </c:cat>
          <c:val>
            <c:numRef>
              <c:f>effect_lookups!$C$136:$C$146</c:f>
              <c:numCache>
                <c:formatCode>0.00</c:formatCode>
                <c:ptCount val="11"/>
                <c:pt idx="0">
                  <c:v>0</c:v>
                </c:pt>
                <c:pt idx="1">
                  <c:v>4.0000000000000008E-2</c:v>
                </c:pt>
                <c:pt idx="2">
                  <c:v>0.16000000000000003</c:v>
                </c:pt>
                <c:pt idx="3">
                  <c:v>0.3600000000000001</c:v>
                </c:pt>
                <c:pt idx="4">
                  <c:v>0.64000000000000012</c:v>
                </c:pt>
                <c:pt idx="5">
                  <c:v>1</c:v>
                </c:pt>
                <c:pt idx="6">
                  <c:v>1.3599999999999999</c:v>
                </c:pt>
                <c:pt idx="7">
                  <c:v>1.64</c:v>
                </c:pt>
                <c:pt idx="8">
                  <c:v>1.8399999999999999</c:v>
                </c:pt>
                <c:pt idx="9">
                  <c:v>1.96</c:v>
                </c:pt>
                <c:pt idx="10">
                  <c:v>2</c:v>
                </c:pt>
              </c:numCache>
            </c:numRef>
          </c:val>
          <c:smooth val="0"/>
          <c:extLst>
            <c:ext xmlns:c16="http://schemas.microsoft.com/office/drawing/2014/chart" uri="{C3380CC4-5D6E-409C-BE32-E72D297353CC}">
              <c16:uniqueId val="{00000000-1B3C-40E6-BB58-B7BAA69AC14A}"/>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74946324017190158"/>
        </c:manualLayout>
      </c:layout>
      <c:lineChart>
        <c:grouping val="standard"/>
        <c:varyColors val="0"/>
        <c:ser>
          <c:idx val="1"/>
          <c:order val="0"/>
          <c:tx>
            <c:strRef>
              <c:f>effect_lookups!$C$159</c:f>
              <c:strCache>
                <c:ptCount val="1"/>
                <c:pt idx="0">
                  <c:v>Efect on bike subjective travel time</c:v>
                </c:pt>
              </c:strCache>
            </c:strRef>
          </c:tx>
          <c:spPr>
            <a:ln w="28575" cap="rnd">
              <a:solidFill>
                <a:schemeClr val="accent2"/>
              </a:solidFill>
              <a:round/>
            </a:ln>
            <a:effectLst/>
          </c:spPr>
          <c:marker>
            <c:symbol val="none"/>
          </c:marker>
          <c:cat>
            <c:numRef>
              <c:f>effect_lookups!$B$88:$B$98</c:f>
              <c:numCache>
                <c:formatCode>0.00</c:formatCode>
                <c:ptCount val="11"/>
                <c:pt idx="0" formatCode="General">
                  <c:v>0</c:v>
                </c:pt>
                <c:pt idx="1">
                  <c:v>0.2</c:v>
                </c:pt>
                <c:pt idx="2">
                  <c:v>0.4</c:v>
                </c:pt>
                <c:pt idx="3">
                  <c:v>0.60000000000000009</c:v>
                </c:pt>
                <c:pt idx="4">
                  <c:v>0.8</c:v>
                </c:pt>
                <c:pt idx="5" formatCode="General">
                  <c:v>1</c:v>
                </c:pt>
                <c:pt idx="6">
                  <c:v>1.3</c:v>
                </c:pt>
                <c:pt idx="7">
                  <c:v>1.6</c:v>
                </c:pt>
                <c:pt idx="8">
                  <c:v>1.9000000000000001</c:v>
                </c:pt>
                <c:pt idx="9">
                  <c:v>2.2000000000000002</c:v>
                </c:pt>
                <c:pt idx="10">
                  <c:v>2.5</c:v>
                </c:pt>
              </c:numCache>
            </c:numRef>
          </c:cat>
          <c:val>
            <c:numRef>
              <c:f>effect_lookups!$C$160:$C$170</c:f>
              <c:numCache>
                <c:formatCode>0.00</c:formatCode>
                <c:ptCount val="11"/>
                <c:pt idx="0">
                  <c:v>0</c:v>
                </c:pt>
                <c:pt idx="1">
                  <c:v>4.0000000000000008E-2</c:v>
                </c:pt>
                <c:pt idx="2">
                  <c:v>0.16000000000000003</c:v>
                </c:pt>
                <c:pt idx="3">
                  <c:v>0.3600000000000001</c:v>
                </c:pt>
                <c:pt idx="4">
                  <c:v>0.64000000000000012</c:v>
                </c:pt>
                <c:pt idx="5">
                  <c:v>1</c:v>
                </c:pt>
                <c:pt idx="6">
                  <c:v>1.3599999999999999</c:v>
                </c:pt>
                <c:pt idx="7">
                  <c:v>1.64</c:v>
                </c:pt>
                <c:pt idx="8">
                  <c:v>1.8399999999999999</c:v>
                </c:pt>
                <c:pt idx="9">
                  <c:v>1.96</c:v>
                </c:pt>
                <c:pt idx="10">
                  <c:v>2</c:v>
                </c:pt>
              </c:numCache>
            </c:numRef>
          </c:val>
          <c:smooth val="0"/>
          <c:extLst>
            <c:ext xmlns:c16="http://schemas.microsoft.com/office/drawing/2014/chart" uri="{C3380CC4-5D6E-409C-BE32-E72D297353CC}">
              <c16:uniqueId val="{00000000-EA7D-4AE7-A072-0DBA4FD0BE43}"/>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74946324017190158"/>
        </c:manualLayout>
      </c:layout>
      <c:lineChart>
        <c:grouping val="standard"/>
        <c:varyColors val="0"/>
        <c:ser>
          <c:idx val="1"/>
          <c:order val="0"/>
          <c:tx>
            <c:strRef>
              <c:f>effect_lookups!$C$182</c:f>
              <c:strCache>
                <c:ptCount val="1"/>
                <c:pt idx="0">
                  <c:v>Efect on PT access egress time</c:v>
                </c:pt>
              </c:strCache>
            </c:strRef>
          </c:tx>
          <c:spPr>
            <a:ln w="28575" cap="rnd">
              <a:solidFill>
                <a:schemeClr val="accent2"/>
              </a:solidFill>
              <a:round/>
            </a:ln>
            <a:effectLst/>
          </c:spPr>
          <c:marker>
            <c:symbol val="none"/>
          </c:marker>
          <c:cat>
            <c:numRef>
              <c:f>effect_lookups!$B$88:$B$98</c:f>
              <c:numCache>
                <c:formatCode>0.00</c:formatCode>
                <c:ptCount val="11"/>
                <c:pt idx="0" formatCode="General">
                  <c:v>0</c:v>
                </c:pt>
                <c:pt idx="1">
                  <c:v>0.2</c:v>
                </c:pt>
                <c:pt idx="2">
                  <c:v>0.4</c:v>
                </c:pt>
                <c:pt idx="3">
                  <c:v>0.60000000000000009</c:v>
                </c:pt>
                <c:pt idx="4">
                  <c:v>0.8</c:v>
                </c:pt>
                <c:pt idx="5" formatCode="General">
                  <c:v>1</c:v>
                </c:pt>
                <c:pt idx="6">
                  <c:v>1.3</c:v>
                </c:pt>
                <c:pt idx="7">
                  <c:v>1.6</c:v>
                </c:pt>
                <c:pt idx="8">
                  <c:v>1.9000000000000001</c:v>
                </c:pt>
                <c:pt idx="9">
                  <c:v>2.2000000000000002</c:v>
                </c:pt>
                <c:pt idx="10">
                  <c:v>2.5</c:v>
                </c:pt>
              </c:numCache>
            </c:numRef>
          </c:cat>
          <c:val>
            <c:numRef>
              <c:f>effect_lookups!$C$183:$C$193</c:f>
              <c:numCache>
                <c:formatCode>0.00</c:formatCode>
                <c:ptCount val="11"/>
                <c:pt idx="0">
                  <c:v>4</c:v>
                </c:pt>
                <c:pt idx="1">
                  <c:v>3.88</c:v>
                </c:pt>
                <c:pt idx="2">
                  <c:v>3.52</c:v>
                </c:pt>
                <c:pt idx="3">
                  <c:v>2.92</c:v>
                </c:pt>
                <c:pt idx="4">
                  <c:v>2.0799999999999996</c:v>
                </c:pt>
                <c:pt idx="5">
                  <c:v>1</c:v>
                </c:pt>
                <c:pt idx="6">
                  <c:v>0.82000000000000006</c:v>
                </c:pt>
                <c:pt idx="7">
                  <c:v>0.68</c:v>
                </c:pt>
                <c:pt idx="8">
                  <c:v>0.58000000000000007</c:v>
                </c:pt>
                <c:pt idx="9">
                  <c:v>0.52000000000000013</c:v>
                </c:pt>
                <c:pt idx="10">
                  <c:v>0.50000000000000011</c:v>
                </c:pt>
              </c:numCache>
            </c:numRef>
          </c:val>
          <c:smooth val="0"/>
          <c:extLst>
            <c:ext xmlns:c16="http://schemas.microsoft.com/office/drawing/2014/chart" uri="{C3380CC4-5D6E-409C-BE32-E72D297353CC}">
              <c16:uniqueId val="{00000000-B8F6-4E1F-AA51-4F925392A3BB}"/>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74946324017190158"/>
        </c:manualLayout>
      </c:layout>
      <c:lineChart>
        <c:grouping val="standard"/>
        <c:varyColors val="0"/>
        <c:ser>
          <c:idx val="1"/>
          <c:order val="0"/>
          <c:tx>
            <c:strRef>
              <c:f>effect_lookups!$C$111</c:f>
              <c:strCache>
                <c:ptCount val="1"/>
                <c:pt idx="0">
                  <c:v>Effect on car network distance</c:v>
                </c:pt>
              </c:strCache>
            </c:strRef>
          </c:tx>
          <c:spPr>
            <a:ln w="28575" cap="rnd">
              <a:solidFill>
                <a:schemeClr val="accent2"/>
              </a:solidFill>
              <a:round/>
            </a:ln>
            <a:effectLst/>
          </c:spPr>
          <c:marker>
            <c:symbol val="none"/>
          </c:marker>
          <c:cat>
            <c:numRef>
              <c:f>effect_lookups!$B$88:$B$98</c:f>
              <c:numCache>
                <c:formatCode>0.00</c:formatCode>
                <c:ptCount val="11"/>
                <c:pt idx="0" formatCode="General">
                  <c:v>0</c:v>
                </c:pt>
                <c:pt idx="1">
                  <c:v>0.2</c:v>
                </c:pt>
                <c:pt idx="2">
                  <c:v>0.4</c:v>
                </c:pt>
                <c:pt idx="3">
                  <c:v>0.60000000000000009</c:v>
                </c:pt>
                <c:pt idx="4">
                  <c:v>0.8</c:v>
                </c:pt>
                <c:pt idx="5" formatCode="General">
                  <c:v>1</c:v>
                </c:pt>
                <c:pt idx="6">
                  <c:v>1.3</c:v>
                </c:pt>
                <c:pt idx="7">
                  <c:v>1.6</c:v>
                </c:pt>
                <c:pt idx="8">
                  <c:v>1.9000000000000001</c:v>
                </c:pt>
                <c:pt idx="9">
                  <c:v>2.2000000000000002</c:v>
                </c:pt>
                <c:pt idx="10">
                  <c:v>2.5</c:v>
                </c:pt>
              </c:numCache>
            </c:numRef>
          </c:cat>
          <c:val>
            <c:numRef>
              <c:f>effect_lookups!$C$112:$C$123</c:f>
              <c:numCache>
                <c:formatCode>0.00</c:formatCode>
                <c:ptCount val="12"/>
                <c:pt idx="0">
                  <c:v>1.5</c:v>
                </c:pt>
                <c:pt idx="1">
                  <c:v>1.48</c:v>
                </c:pt>
                <c:pt idx="2">
                  <c:v>1.42</c:v>
                </c:pt>
                <c:pt idx="3">
                  <c:v>1.3199999999999998</c:v>
                </c:pt>
                <c:pt idx="4">
                  <c:v>1.18</c:v>
                </c:pt>
                <c:pt idx="5">
                  <c:v>1</c:v>
                </c:pt>
                <c:pt idx="6">
                  <c:v>0.94217177125722862</c:v>
                </c:pt>
                <c:pt idx="7">
                  <c:v>0.89719426001285085</c:v>
                </c:pt>
                <c:pt idx="8">
                  <c:v>0.8650674662668667</c:v>
                </c:pt>
                <c:pt idx="9">
                  <c:v>0.84579139001927617</c:v>
                </c:pt>
                <c:pt idx="10">
                  <c:v>0.83936603127007936</c:v>
                </c:pt>
                <c:pt idx="11">
                  <c:v>0.83936603127007936</c:v>
                </c:pt>
              </c:numCache>
            </c:numRef>
          </c:val>
          <c:smooth val="0"/>
          <c:extLst>
            <c:ext xmlns:c16="http://schemas.microsoft.com/office/drawing/2014/chart" uri="{C3380CC4-5D6E-409C-BE32-E72D297353CC}">
              <c16:uniqueId val="{00000000-52F6-4D7D-AD03-568F8EC8173A}"/>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74946324017190158"/>
        </c:manualLayout>
      </c:layout>
      <c:lineChart>
        <c:grouping val="standard"/>
        <c:varyColors val="0"/>
        <c:ser>
          <c:idx val="1"/>
          <c:order val="0"/>
          <c:tx>
            <c:strRef>
              <c:f>effect_lookups!$C$182</c:f>
              <c:strCache>
                <c:ptCount val="1"/>
                <c:pt idx="0">
                  <c:v>Efect on PT access egress time</c:v>
                </c:pt>
              </c:strCache>
            </c:strRef>
          </c:tx>
          <c:spPr>
            <a:ln w="28575" cap="rnd">
              <a:solidFill>
                <a:schemeClr val="accent2"/>
              </a:solidFill>
              <a:round/>
            </a:ln>
            <a:effectLst/>
          </c:spPr>
          <c:marker>
            <c:symbol val="none"/>
          </c:marker>
          <c:cat>
            <c:numRef>
              <c:f>effect_lookups!$B$206:$B$216</c:f>
              <c:numCache>
                <c:formatCode>General</c:formatCode>
                <c:ptCount val="11"/>
                <c:pt idx="0">
                  <c:v>0</c:v>
                </c:pt>
                <c:pt idx="1">
                  <c:v>0.2</c:v>
                </c:pt>
                <c:pt idx="2">
                  <c:v>0.4</c:v>
                </c:pt>
                <c:pt idx="3">
                  <c:v>0.60000000000000009</c:v>
                </c:pt>
                <c:pt idx="4">
                  <c:v>0.8</c:v>
                </c:pt>
                <c:pt idx="5">
                  <c:v>1</c:v>
                </c:pt>
                <c:pt idx="6" formatCode="0.00">
                  <c:v>1.169</c:v>
                </c:pt>
                <c:pt idx="7" formatCode="0.00">
                  <c:v>1.3380000000000001</c:v>
                </c:pt>
                <c:pt idx="8" formatCode="0.00">
                  <c:v>1.5069999999999999</c:v>
                </c:pt>
                <c:pt idx="9" formatCode="0.00">
                  <c:v>1.6759999999999999</c:v>
                </c:pt>
                <c:pt idx="10" formatCode="0.00">
                  <c:v>1.845</c:v>
                </c:pt>
              </c:numCache>
            </c:numRef>
          </c:cat>
          <c:val>
            <c:numRef>
              <c:f>effect_lookups!$C$206:$C$216</c:f>
              <c:numCache>
                <c:formatCode>0.00</c:formatCode>
                <c:ptCount val="11"/>
                <c:pt idx="0">
                  <c:v>0.66666666666666674</c:v>
                </c:pt>
                <c:pt idx="1">
                  <c:v>0.68</c:v>
                </c:pt>
                <c:pt idx="2">
                  <c:v>0.72000000000000008</c:v>
                </c:pt>
                <c:pt idx="3">
                  <c:v>0.78666666666666674</c:v>
                </c:pt>
                <c:pt idx="4">
                  <c:v>0.88000000000000012</c:v>
                </c:pt>
                <c:pt idx="5">
                  <c:v>1</c:v>
                </c:pt>
                <c:pt idx="6">
                  <c:v>1.1199999999999999</c:v>
                </c:pt>
                <c:pt idx="7">
                  <c:v>1.2133333333333334</c:v>
                </c:pt>
                <c:pt idx="8">
                  <c:v>1.28</c:v>
                </c:pt>
                <c:pt idx="9">
                  <c:v>1.32</c:v>
                </c:pt>
                <c:pt idx="10">
                  <c:v>1.3333333333333335</c:v>
                </c:pt>
              </c:numCache>
            </c:numRef>
          </c:val>
          <c:smooth val="0"/>
          <c:extLst>
            <c:ext xmlns:c16="http://schemas.microsoft.com/office/drawing/2014/chart" uri="{C3380CC4-5D6E-409C-BE32-E72D297353CC}">
              <c16:uniqueId val="{00000000-AAF2-4B32-A307-CC4DE255F863}"/>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65383481777892516"/>
        </c:manualLayout>
      </c:layout>
      <c:lineChart>
        <c:grouping val="standard"/>
        <c:varyColors val="0"/>
        <c:ser>
          <c:idx val="1"/>
          <c:order val="0"/>
          <c:tx>
            <c:strRef>
              <c:f>effect_lookups!$C$282</c:f>
              <c:strCache>
                <c:ptCount val="1"/>
                <c:pt idx="0">
                  <c:v>Effect on population susceptible to cycling</c:v>
                </c:pt>
              </c:strCache>
            </c:strRef>
          </c:tx>
          <c:spPr>
            <a:ln w="28575" cap="rnd">
              <a:solidFill>
                <a:schemeClr val="accent2"/>
              </a:solidFill>
              <a:round/>
            </a:ln>
            <a:effectLst/>
          </c:spPr>
          <c:marker>
            <c:symbol val="none"/>
          </c:marker>
          <c:cat>
            <c:numRef>
              <c:f>effect_lookups!$B$283:$B$294</c:f>
              <c:numCache>
                <c:formatCode>General</c:formatCode>
                <c:ptCount val="12"/>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4</c:v>
                </c:pt>
              </c:numCache>
            </c:numRef>
          </c:cat>
          <c:val>
            <c:numRef>
              <c:f>effect_lookups!$C$283:$C$294</c:f>
              <c:numCache>
                <c:formatCode>General</c:formatCode>
                <c:ptCount val="12"/>
                <c:pt idx="0">
                  <c:v>0.01</c:v>
                </c:pt>
                <c:pt idx="1">
                  <c:v>4.0000000000000008E-2</c:v>
                </c:pt>
                <c:pt idx="2">
                  <c:v>0.16000000000000003</c:v>
                </c:pt>
                <c:pt idx="3">
                  <c:v>0.3600000000000001</c:v>
                </c:pt>
                <c:pt idx="4">
                  <c:v>0.64000000000000012</c:v>
                </c:pt>
                <c:pt idx="5">
                  <c:v>1</c:v>
                </c:pt>
                <c:pt idx="6" formatCode="0.00">
                  <c:v>1.2034782608695651</c:v>
                </c:pt>
                <c:pt idx="7" formatCode="0.00">
                  <c:v>1.3617391304347826</c:v>
                </c:pt>
                <c:pt idx="8" formatCode="0.00">
                  <c:v>1.4747826086956521</c:v>
                </c:pt>
                <c:pt idx="9" formatCode="0.00">
                  <c:v>1.5426086956521738</c:v>
                </c:pt>
                <c:pt idx="10" formatCode="0.00">
                  <c:v>1.5652173913043479</c:v>
                </c:pt>
                <c:pt idx="11" formatCode="0.00">
                  <c:v>1.5652173913043479</c:v>
                </c:pt>
              </c:numCache>
            </c:numRef>
          </c:val>
          <c:smooth val="0"/>
          <c:extLst>
            <c:ext xmlns:c16="http://schemas.microsoft.com/office/drawing/2014/chart" uri="{C3380CC4-5D6E-409C-BE32-E72D297353CC}">
              <c16:uniqueId val="{00000000-9E68-43EA-BE22-201ECE7B88D4}"/>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65383481777892516"/>
        </c:manualLayout>
      </c:layout>
      <c:lineChart>
        <c:grouping val="standard"/>
        <c:varyColors val="0"/>
        <c:ser>
          <c:idx val="1"/>
          <c:order val="0"/>
          <c:tx>
            <c:strRef>
              <c:f>effect_lookups!$C$299</c:f>
              <c:strCache>
                <c:ptCount val="1"/>
                <c:pt idx="0">
                  <c:v>Effect on population susceptible to cycling</c:v>
                </c:pt>
              </c:strCache>
            </c:strRef>
          </c:tx>
          <c:spPr>
            <a:ln w="28575" cap="rnd">
              <a:solidFill>
                <a:schemeClr val="accent2"/>
              </a:solidFill>
              <a:round/>
            </a:ln>
            <a:effectLst/>
          </c:spPr>
          <c:marker>
            <c:symbol val="none"/>
          </c:marker>
          <c:cat>
            <c:numRef>
              <c:f>effect_lookups!$B$300:$B$312</c:f>
              <c:numCache>
                <c:formatCode>General</c:formatCode>
                <c:ptCount val="1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2.25</c:v>
                </c:pt>
                <c:pt idx="12">
                  <c:v>3</c:v>
                </c:pt>
              </c:numCache>
            </c:numRef>
          </c:cat>
          <c:val>
            <c:numRef>
              <c:f>effect_lookups!$C$300:$C$312</c:f>
              <c:numCache>
                <c:formatCode>General</c:formatCode>
                <c:ptCount val="13"/>
                <c:pt idx="0">
                  <c:v>0.01</c:v>
                </c:pt>
                <c:pt idx="1">
                  <c:v>0.3</c:v>
                </c:pt>
                <c:pt idx="2">
                  <c:v>0.55000000000000004</c:v>
                </c:pt>
                <c:pt idx="3">
                  <c:v>0.75</c:v>
                </c:pt>
                <c:pt idx="4">
                  <c:v>0.95</c:v>
                </c:pt>
                <c:pt idx="5">
                  <c:v>1</c:v>
                </c:pt>
                <c:pt idx="6" formatCode="0.00">
                  <c:v>1.1499999999999999</c:v>
                </c:pt>
                <c:pt idx="7" formatCode="0.00">
                  <c:v>1.4</c:v>
                </c:pt>
                <c:pt idx="8" formatCode="0.00">
                  <c:v>1.8</c:v>
                </c:pt>
                <c:pt idx="9" formatCode="0.00">
                  <c:v>2.6</c:v>
                </c:pt>
                <c:pt idx="10">
                  <c:v>2.85</c:v>
                </c:pt>
                <c:pt idx="11" formatCode="0.00">
                  <c:v>3</c:v>
                </c:pt>
                <c:pt idx="12">
                  <c:v>3</c:v>
                </c:pt>
              </c:numCache>
            </c:numRef>
          </c:val>
          <c:smooth val="0"/>
          <c:extLst>
            <c:ext xmlns:c16="http://schemas.microsoft.com/office/drawing/2014/chart" uri="{C3380CC4-5D6E-409C-BE32-E72D297353CC}">
              <c16:uniqueId val="{00000000-66F1-4373-8066-61866B243217}"/>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lineChart>
        <c:grouping val="standard"/>
        <c:varyColors val="0"/>
        <c:ser>
          <c:idx val="0"/>
          <c:order val="0"/>
          <c:tx>
            <c:strRef>
              <c:f>MARS_lookups!$D$10</c:f>
              <c:strCache>
                <c:ptCount val="1"/>
                <c:pt idx="0">
                  <c:v>Physical time</c:v>
                </c:pt>
              </c:strCache>
            </c:strRef>
          </c:tx>
          <c:spPr>
            <a:ln w="28575" cap="rnd">
              <a:solidFill>
                <a:schemeClr val="accent3">
                  <a:shade val="65000"/>
                </a:schemeClr>
              </a:solidFill>
              <a:round/>
            </a:ln>
            <a:effectLst/>
          </c:spPr>
          <c:marker>
            <c:symbol val="none"/>
          </c:marker>
          <c:val>
            <c:numRef>
              <c:f>MARS_lookups!$D$11:$D$34</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25</c:v>
                </c:pt>
              </c:numCache>
            </c:numRef>
          </c:val>
          <c:smooth val="0"/>
          <c:extLst>
            <c:ext xmlns:c16="http://schemas.microsoft.com/office/drawing/2014/chart" uri="{C3380CC4-5D6E-409C-BE32-E72D297353CC}">
              <c16:uniqueId val="{00000000-6963-483E-99EC-5E151A5739E8}"/>
            </c:ext>
          </c:extLst>
        </c:ser>
        <c:ser>
          <c:idx val="1"/>
          <c:order val="1"/>
          <c:tx>
            <c:strRef>
              <c:f>MARS_lookups!$E$10</c:f>
              <c:strCache>
                <c:ptCount val="1"/>
                <c:pt idx="0">
                  <c:v>In vehicle time</c:v>
                </c:pt>
              </c:strCache>
            </c:strRef>
          </c:tx>
          <c:spPr>
            <a:ln w="28575" cap="rnd">
              <a:solidFill>
                <a:schemeClr val="accent3"/>
              </a:solidFill>
              <a:round/>
            </a:ln>
            <a:effectLst/>
          </c:spPr>
          <c:marker>
            <c:symbol val="none"/>
          </c:marker>
          <c:val>
            <c:numRef>
              <c:f>MARS_lookups!$E$11:$E$34</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25</c:v>
                </c:pt>
              </c:numCache>
            </c:numRef>
          </c:val>
          <c:smooth val="0"/>
          <c:extLst>
            <c:ext xmlns:c16="http://schemas.microsoft.com/office/drawing/2014/chart" uri="{C3380CC4-5D6E-409C-BE32-E72D297353CC}">
              <c16:uniqueId val="{00000001-6963-483E-99EC-5E151A5739E8}"/>
            </c:ext>
          </c:extLst>
        </c:ser>
        <c:ser>
          <c:idx val="2"/>
          <c:order val="2"/>
          <c:tx>
            <c:strRef>
              <c:f>MARS_lookups!$F$10</c:f>
              <c:strCache>
                <c:ptCount val="1"/>
                <c:pt idx="0">
                  <c:v>Parking search and out vehicle time</c:v>
                </c:pt>
              </c:strCache>
            </c:strRef>
          </c:tx>
          <c:spPr>
            <a:ln w="28575" cap="rnd">
              <a:solidFill>
                <a:schemeClr val="accent3">
                  <a:tint val="65000"/>
                </a:schemeClr>
              </a:solidFill>
              <a:round/>
            </a:ln>
            <a:effectLst/>
          </c:spPr>
          <c:marker>
            <c:symbol val="none"/>
          </c:marker>
          <c:val>
            <c:numRef>
              <c:f>MARS_lookups!$F$11:$F$34</c:f>
              <c:numCache>
                <c:formatCode>General</c:formatCode>
                <c:ptCount val="24"/>
                <c:pt idx="0">
                  <c:v>0</c:v>
                </c:pt>
                <c:pt idx="1">
                  <c:v>2.0002225540928493</c:v>
                </c:pt>
                <c:pt idx="2">
                  <c:v>4.000990606484879</c:v>
                </c:pt>
                <c:pt idx="3">
                  <c:v>6.0033069529141923</c:v>
                </c:pt>
                <c:pt idx="4">
                  <c:v>8.009813012078844</c:v>
                </c:pt>
                <c:pt idx="5">
                  <c:v>10.027299075016572</c:v>
                </c:pt>
                <c:pt idx="6">
                  <c:v>12.07290625051124</c:v>
                </c:pt>
                <c:pt idx="7">
                  <c:v>14.189298485198307</c:v>
                </c:pt>
                <c:pt idx="8">
                  <c:v>16.481476030297667</c:v>
                </c:pt>
                <c:pt idx="9">
                  <c:v>19.205487687954978</c:v>
                </c:pt>
                <c:pt idx="10">
                  <c:v>22.98095798704173</c:v>
                </c:pt>
                <c:pt idx="11">
                  <c:v>25.669420085084852</c:v>
                </c:pt>
                <c:pt idx="12">
                  <c:v>29.297668406905675</c:v>
                </c:pt>
                <c:pt idx="13">
                  <c:v>34.381698417555519</c:v>
                </c:pt>
                <c:pt idx="14">
                  <c:v>41.717737878692759</c:v>
                </c:pt>
                <c:pt idx="15">
                  <c:v>52.533082243508403</c:v>
                </c:pt>
                <c:pt idx="16">
                  <c:v>68.717513376776324</c:v>
                </c:pt>
                <c:pt idx="17">
                  <c:v>93.178081534115364</c:v>
                </c:pt>
                <c:pt idx="18">
                  <c:v>130.38261856678182</c:v>
                </c:pt>
                <c:pt idx="19">
                  <c:v>145</c:v>
                </c:pt>
                <c:pt idx="20">
                  <c:v>155</c:v>
                </c:pt>
                <c:pt idx="21">
                  <c:v>160</c:v>
                </c:pt>
                <c:pt idx="22">
                  <c:v>162</c:v>
                </c:pt>
                <c:pt idx="23">
                  <c:v>162</c:v>
                </c:pt>
              </c:numCache>
            </c:numRef>
          </c:val>
          <c:smooth val="0"/>
          <c:extLst>
            <c:ext xmlns:c16="http://schemas.microsoft.com/office/drawing/2014/chart" uri="{C3380CC4-5D6E-409C-BE32-E72D297353CC}">
              <c16:uniqueId val="{00000000-5F0C-4CA1-9BF4-A87D9A5896AA}"/>
            </c:ext>
          </c:extLst>
        </c:ser>
        <c:dLbls>
          <c:showLegendKey val="0"/>
          <c:showVal val="0"/>
          <c:showCatName val="0"/>
          <c:showSerName val="0"/>
          <c:showPercent val="0"/>
          <c:showBubbleSize val="0"/>
        </c:dLbls>
        <c:smooth val="0"/>
        <c:axId val="765393072"/>
        <c:axId val="765397872"/>
      </c:lineChart>
      <c:catAx>
        <c:axId val="765393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65397872"/>
        <c:crosses val="autoZero"/>
        <c:auto val="1"/>
        <c:lblAlgn val="ctr"/>
        <c:lblOffset val="100"/>
        <c:noMultiLvlLbl val="0"/>
      </c:catAx>
      <c:valAx>
        <c:axId val="765397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65393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lineChart>
        <c:grouping val="standard"/>
        <c:varyColors val="0"/>
        <c:ser>
          <c:idx val="0"/>
          <c:order val="0"/>
          <c:tx>
            <c:strRef>
              <c:f>MARS_lookups!$D$39</c:f>
              <c:strCache>
                <c:ptCount val="1"/>
                <c:pt idx="0">
                  <c:v>Physical time</c:v>
                </c:pt>
              </c:strCache>
            </c:strRef>
          </c:tx>
          <c:spPr>
            <a:ln w="28575" cap="rnd">
              <a:solidFill>
                <a:schemeClr val="accent3">
                  <a:shade val="53000"/>
                </a:schemeClr>
              </a:solidFill>
              <a:round/>
            </a:ln>
            <a:effectLst/>
          </c:spPr>
          <c:marker>
            <c:symbol val="none"/>
          </c:marker>
          <c:val>
            <c:numRef>
              <c:f>MARS_lookups!$D$40:$D$58</c:f>
              <c:numCache>
                <c:formatCode>General</c:formatCode>
                <c:ptCount val="19"/>
                <c:pt idx="0">
                  <c:v>0</c:v>
                </c:pt>
                <c:pt idx="1">
                  <c:v>1</c:v>
                </c:pt>
                <c:pt idx="2">
                  <c:v>2</c:v>
                </c:pt>
                <c:pt idx="3">
                  <c:v>2.5</c:v>
                </c:pt>
                <c:pt idx="4">
                  <c:v>3</c:v>
                </c:pt>
                <c:pt idx="5">
                  <c:v>3.5</c:v>
                </c:pt>
                <c:pt idx="6">
                  <c:v>4</c:v>
                </c:pt>
                <c:pt idx="7">
                  <c:v>4.5</c:v>
                </c:pt>
                <c:pt idx="8">
                  <c:v>5</c:v>
                </c:pt>
                <c:pt idx="9">
                  <c:v>5.5</c:v>
                </c:pt>
                <c:pt idx="10">
                  <c:v>6</c:v>
                </c:pt>
                <c:pt idx="11">
                  <c:v>6.5</c:v>
                </c:pt>
                <c:pt idx="12">
                  <c:v>7</c:v>
                </c:pt>
                <c:pt idx="13">
                  <c:v>7.5</c:v>
                </c:pt>
                <c:pt idx="14">
                  <c:v>8</c:v>
                </c:pt>
                <c:pt idx="15">
                  <c:v>8.5</c:v>
                </c:pt>
                <c:pt idx="16">
                  <c:v>9</c:v>
                </c:pt>
                <c:pt idx="17">
                  <c:v>9.5</c:v>
                </c:pt>
                <c:pt idx="18">
                  <c:v>10</c:v>
                </c:pt>
              </c:numCache>
            </c:numRef>
          </c:val>
          <c:smooth val="0"/>
          <c:extLst>
            <c:ext xmlns:c16="http://schemas.microsoft.com/office/drawing/2014/chart" uri="{C3380CC4-5D6E-409C-BE32-E72D297353CC}">
              <c16:uniqueId val="{00000000-0623-4908-8CE3-85F7712A186D}"/>
            </c:ext>
          </c:extLst>
        </c:ser>
        <c:ser>
          <c:idx val="1"/>
          <c:order val="1"/>
          <c:tx>
            <c:strRef>
              <c:f>MARS_lookups!$E$39</c:f>
              <c:strCache>
                <c:ptCount val="1"/>
                <c:pt idx="0">
                  <c:v>In vehicle time</c:v>
                </c:pt>
              </c:strCache>
            </c:strRef>
          </c:tx>
          <c:spPr>
            <a:ln w="28575" cap="rnd">
              <a:solidFill>
                <a:schemeClr val="accent3">
                  <a:shade val="76000"/>
                </a:schemeClr>
              </a:solidFill>
              <a:round/>
            </a:ln>
            <a:effectLst/>
          </c:spPr>
          <c:marker>
            <c:symbol val="none"/>
          </c:marker>
          <c:val>
            <c:numRef>
              <c:f>MARS_lookups!$E$40:$E$58</c:f>
              <c:numCache>
                <c:formatCode>General</c:formatCode>
                <c:ptCount val="19"/>
                <c:pt idx="0">
                  <c:v>0</c:v>
                </c:pt>
                <c:pt idx="1">
                  <c:v>1</c:v>
                </c:pt>
                <c:pt idx="2">
                  <c:v>2</c:v>
                </c:pt>
                <c:pt idx="3">
                  <c:v>2.5</c:v>
                </c:pt>
                <c:pt idx="4">
                  <c:v>3</c:v>
                </c:pt>
                <c:pt idx="5">
                  <c:v>3.5</c:v>
                </c:pt>
                <c:pt idx="6">
                  <c:v>4</c:v>
                </c:pt>
                <c:pt idx="7">
                  <c:v>4.5</c:v>
                </c:pt>
                <c:pt idx="8">
                  <c:v>5</c:v>
                </c:pt>
                <c:pt idx="9">
                  <c:v>5.5</c:v>
                </c:pt>
                <c:pt idx="10">
                  <c:v>6</c:v>
                </c:pt>
                <c:pt idx="11">
                  <c:v>6.5</c:v>
                </c:pt>
                <c:pt idx="12">
                  <c:v>7</c:v>
                </c:pt>
                <c:pt idx="13">
                  <c:v>7.5</c:v>
                </c:pt>
                <c:pt idx="14">
                  <c:v>8</c:v>
                </c:pt>
                <c:pt idx="15">
                  <c:v>8.5</c:v>
                </c:pt>
                <c:pt idx="16">
                  <c:v>9</c:v>
                </c:pt>
                <c:pt idx="17">
                  <c:v>9.5</c:v>
                </c:pt>
                <c:pt idx="18">
                  <c:v>10</c:v>
                </c:pt>
              </c:numCache>
            </c:numRef>
          </c:val>
          <c:smooth val="0"/>
          <c:extLst>
            <c:ext xmlns:c16="http://schemas.microsoft.com/office/drawing/2014/chart" uri="{C3380CC4-5D6E-409C-BE32-E72D297353CC}">
              <c16:uniqueId val="{00000001-0623-4908-8CE3-85F7712A186D}"/>
            </c:ext>
          </c:extLst>
        </c:ser>
        <c:ser>
          <c:idx val="2"/>
          <c:order val="2"/>
          <c:tx>
            <c:strRef>
              <c:f>MARS_lookups!$F$39</c:f>
              <c:strCache>
                <c:ptCount val="1"/>
                <c:pt idx="0">
                  <c:v>Access/egress time</c:v>
                </c:pt>
              </c:strCache>
            </c:strRef>
          </c:tx>
          <c:spPr>
            <a:ln w="28575" cap="rnd">
              <a:solidFill>
                <a:schemeClr val="accent3"/>
              </a:solidFill>
              <a:round/>
            </a:ln>
            <a:effectLst/>
          </c:spPr>
          <c:marker>
            <c:symbol val="none"/>
          </c:marker>
          <c:val>
            <c:numRef>
              <c:f>MARS_lookups!$F$40:$F$58</c:f>
              <c:numCache>
                <c:formatCode>General</c:formatCode>
                <c:ptCount val="19"/>
                <c:pt idx="0">
                  <c:v>0.84367400000000004</c:v>
                </c:pt>
                <c:pt idx="1">
                  <c:v>0.95584800616759935</c:v>
                </c:pt>
                <c:pt idx="2">
                  <c:v>2.2277251675669065</c:v>
                </c:pt>
                <c:pt idx="3">
                  <c:v>3.0391164432735378</c:v>
                </c:pt>
                <c:pt idx="4">
                  <c:v>4.0093522609412302</c:v>
                </c:pt>
                <c:pt idx="5">
                  <c:v>5.1794028246409782</c:v>
                </c:pt>
                <c:pt idx="6">
                  <c:v>6.600003585466931</c:v>
                </c:pt>
                <c:pt idx="7">
                  <c:v>8.3338742012118452</c:v>
                </c:pt>
                <c:pt idx="8">
                  <c:v>10.458425802242385</c:v>
                </c:pt>
                <c:pt idx="9">
                  <c:v>13.069061575902825</c:v>
                </c:pt>
                <c:pt idx="10">
                  <c:v>16.283197877185238</c:v>
                </c:pt>
                <c:pt idx="11">
                  <c:v>20.245159897044029</c:v>
                </c:pt>
                <c:pt idx="12">
                  <c:v>25.132138326283659</c:v>
                </c:pt>
                <c:pt idx="13">
                  <c:v>31.161432592272721</c:v>
                </c:pt>
                <c:pt idx="14">
                  <c:v>38.59925350249091</c:v>
                </c:pt>
                <c:pt idx="15">
                  <c:v>47.771415170140742</c:v>
                </c:pt>
                <c:pt idx="16">
                  <c:v>59.076314929374334</c:v>
                </c:pt>
                <c:pt idx="17">
                  <c:v>73.000682985993421</c:v>
                </c:pt>
                <c:pt idx="18">
                  <c:v>90.138683699468601</c:v>
                </c:pt>
              </c:numCache>
            </c:numRef>
          </c:val>
          <c:smooth val="0"/>
          <c:extLst>
            <c:ext xmlns:c16="http://schemas.microsoft.com/office/drawing/2014/chart" uri="{C3380CC4-5D6E-409C-BE32-E72D297353CC}">
              <c16:uniqueId val="{00000002-0623-4908-8CE3-85F7712A186D}"/>
            </c:ext>
          </c:extLst>
        </c:ser>
        <c:ser>
          <c:idx val="3"/>
          <c:order val="3"/>
          <c:tx>
            <c:strRef>
              <c:f>MARS_lookups!$G$39</c:f>
              <c:strCache>
                <c:ptCount val="1"/>
                <c:pt idx="0">
                  <c:v>Changing time</c:v>
                </c:pt>
              </c:strCache>
            </c:strRef>
          </c:tx>
          <c:spPr>
            <a:ln w="28575" cap="rnd">
              <a:solidFill>
                <a:schemeClr val="accent3">
                  <a:tint val="77000"/>
                </a:schemeClr>
              </a:solidFill>
              <a:round/>
            </a:ln>
            <a:effectLst/>
          </c:spPr>
          <c:marker>
            <c:symbol val="none"/>
          </c:marker>
          <c:val>
            <c:numRef>
              <c:f>MARS_lookups!$G$40:$G$58</c:f>
              <c:numCache>
                <c:formatCode>General</c:formatCode>
                <c:ptCount val="19"/>
                <c:pt idx="0">
                  <c:v>0</c:v>
                </c:pt>
                <c:pt idx="1">
                  <c:v>1.2643572240560534</c:v>
                </c:pt>
                <c:pt idx="2">
                  <c:v>3.1000006080793923</c:v>
                </c:pt>
                <c:pt idx="3">
                  <c:v>4.3264672142909877</c:v>
                </c:pt>
                <c:pt idx="4">
                  <c:v>5.8265693156642948</c:v>
                </c:pt>
                <c:pt idx="5">
                  <c:v>7.6654763810716382</c:v>
                </c:pt>
                <c:pt idx="6">
                  <c:v>9.922671987525618</c:v>
                </c:pt>
                <c:pt idx="7">
                  <c:v>12.694948362585446</c:v>
                </c:pt>
                <c:pt idx="8">
                  <c:v>16.100007316942623</c:v>
                </c:pt>
                <c:pt idx="9">
                  <c:v>20.280787529583623</c:v>
                </c:pt>
                <c:pt idx="10">
                  <c:v>25.410661467773384</c:v>
                </c:pt>
                <c:pt idx="11">
                  <c:v>31.699673015675064</c:v>
                </c:pt>
                <c:pt idx="12">
                  <c:v>39.402019996869384</c:v>
                </c:pt>
                <c:pt idx="13">
                  <c:v>48.825025214944027</c:v>
                </c:pt>
                <c:pt idx="14">
                  <c:v>60.339886599452377</c:v>
                </c:pt>
                <c:pt idx="15">
                  <c:v>74.394552953095697</c:v>
                </c:pt>
                <c:pt idx="16">
                  <c:v>91.529138337400838</c:v>
                </c:pt>
                <c:pt idx="17">
                  <c:v>112.39436731164743</c:v>
                </c:pt>
                <c:pt idx="18">
                  <c:v>137.77363743099787</c:v>
                </c:pt>
              </c:numCache>
            </c:numRef>
          </c:val>
          <c:smooth val="0"/>
          <c:extLst>
            <c:ext xmlns:c16="http://schemas.microsoft.com/office/drawing/2014/chart" uri="{C3380CC4-5D6E-409C-BE32-E72D297353CC}">
              <c16:uniqueId val="{00000003-0623-4908-8CE3-85F7712A186D}"/>
            </c:ext>
          </c:extLst>
        </c:ser>
        <c:ser>
          <c:idx val="4"/>
          <c:order val="4"/>
          <c:tx>
            <c:strRef>
              <c:f>MARS_lookups!$H$39</c:f>
              <c:strCache>
                <c:ptCount val="1"/>
                <c:pt idx="0">
                  <c:v>Waiting time</c:v>
                </c:pt>
              </c:strCache>
            </c:strRef>
          </c:tx>
          <c:spPr>
            <a:ln w="28575" cap="rnd">
              <a:solidFill>
                <a:schemeClr val="accent3">
                  <a:tint val="54000"/>
                </a:schemeClr>
              </a:solidFill>
              <a:round/>
            </a:ln>
            <a:effectLst/>
          </c:spPr>
          <c:marker>
            <c:symbol val="none"/>
          </c:marker>
          <c:val>
            <c:numRef>
              <c:f>MARS_lookups!$H$40:$H$58</c:f>
              <c:numCache>
                <c:formatCode>General</c:formatCode>
                <c:ptCount val="19"/>
                <c:pt idx="0">
                  <c:v>0</c:v>
                </c:pt>
                <c:pt idx="1">
                  <c:v>1.5069307673213665</c:v>
                </c:pt>
                <c:pt idx="2">
                  <c:v>3.6000014418211586</c:v>
                </c:pt>
                <c:pt idx="3">
                  <c:v>4.9716446543187702</c:v>
                </c:pt>
                <c:pt idx="4">
                  <c:v>6.6374095073949544</c:v>
                </c:pt>
                <c:pt idx="5">
                  <c:v>8.6729561827074448</c:v>
                </c:pt>
                <c:pt idx="6">
                  <c:v>11.171929333684503</c:v>
                </c:pt>
                <c:pt idx="7">
                  <c:v>14.250033439590618</c:v>
                </c:pt>
                <c:pt idx="8">
                  <c:v>18.050002498548739</c:v>
                </c:pt>
                <c:pt idx="9">
                  <c:v>22.74765585555059</c:v>
                </c:pt>
                <c:pt idx="10">
                  <c:v>28.559272386384698</c:v>
                </c:pt>
                <c:pt idx="11">
                  <c:v>35.750564089227886</c:v>
                </c:pt>
                <c:pt idx="12">
                  <c:v>44.647589101444524</c:v>
                </c:pt>
                <c:pt idx="13">
                  <c:v>55.650015341495937</c:v>
                </c:pt>
                <c:pt idx="14">
                  <c:v>69.247231880208702</c:v>
                </c:pt>
                <c:pt idx="15">
                  <c:v>86.037908786946076</c:v>
                </c:pt>
                <c:pt idx="16">
                  <c:v>106.75373120186424</c:v>
                </c:pt>
                <c:pt idx="17">
                  <c:v>132.28818411879314</c:v>
                </c:pt>
                <c:pt idx="18">
                  <c:v>163.73144607205813</c:v>
                </c:pt>
              </c:numCache>
            </c:numRef>
          </c:val>
          <c:smooth val="0"/>
          <c:extLst>
            <c:ext xmlns:c16="http://schemas.microsoft.com/office/drawing/2014/chart" uri="{C3380CC4-5D6E-409C-BE32-E72D297353CC}">
              <c16:uniqueId val="{00000000-BA3D-4FD7-801A-9AB2F9B3F0C1}"/>
            </c:ext>
          </c:extLst>
        </c:ser>
        <c:dLbls>
          <c:showLegendKey val="0"/>
          <c:showVal val="0"/>
          <c:showCatName val="0"/>
          <c:showSerName val="0"/>
          <c:showPercent val="0"/>
          <c:showBubbleSize val="0"/>
        </c:dLbls>
        <c:smooth val="0"/>
        <c:axId val="765393072"/>
        <c:axId val="765397872"/>
      </c:lineChart>
      <c:catAx>
        <c:axId val="765393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65397872"/>
        <c:crosses val="autoZero"/>
        <c:auto val="1"/>
        <c:lblAlgn val="ctr"/>
        <c:lblOffset val="100"/>
        <c:noMultiLvlLbl val="0"/>
      </c:catAx>
      <c:valAx>
        <c:axId val="765397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765393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54362953202427178"/>
          <c:h val="0.74946324017190158"/>
        </c:manualLayout>
      </c:layout>
      <c:lineChart>
        <c:grouping val="standard"/>
        <c:varyColors val="0"/>
        <c:ser>
          <c:idx val="1"/>
          <c:order val="0"/>
          <c:tx>
            <c:strRef>
              <c:f>old!$C$93</c:f>
              <c:strCache>
                <c:ptCount val="1"/>
                <c:pt idx="0">
                  <c:v>CITY&lt;&gt;CITY</c:v>
                </c:pt>
              </c:strCache>
            </c:strRef>
          </c:tx>
          <c:spPr>
            <a:ln w="28575" cap="rnd">
              <a:solidFill>
                <a:schemeClr val="accent2"/>
              </a:solidFill>
              <a:round/>
            </a:ln>
            <a:effectLst/>
          </c:spPr>
          <c:marker>
            <c:symbol val="none"/>
          </c:marker>
          <c:cat>
            <c:numRef>
              <c:f>old!$B$94:$B$97</c:f>
              <c:numCache>
                <c:formatCode>General</c:formatCode>
                <c:ptCount val="4"/>
                <c:pt idx="0">
                  <c:v>2020</c:v>
                </c:pt>
                <c:pt idx="1">
                  <c:v>2030</c:v>
                </c:pt>
                <c:pt idx="2">
                  <c:v>2040</c:v>
                </c:pt>
                <c:pt idx="3">
                  <c:v>2050</c:v>
                </c:pt>
              </c:numCache>
            </c:numRef>
          </c:cat>
          <c:val>
            <c:numRef>
              <c:f>old!$C$94:$C$97</c:f>
              <c:numCache>
                <c:formatCode>0.000</c:formatCode>
                <c:ptCount val="4"/>
                <c:pt idx="0">
                  <c:v>3.9613503469814746</c:v>
                </c:pt>
                <c:pt idx="1">
                  <c:v>3.9677071842260991</c:v>
                </c:pt>
                <c:pt idx="2">
                  <c:v>3.973873316353385</c:v>
                </c:pt>
                <c:pt idx="3">
                  <c:v>3.9798544645168525</c:v>
                </c:pt>
              </c:numCache>
            </c:numRef>
          </c:val>
          <c:smooth val="0"/>
          <c:extLst>
            <c:ext xmlns:c16="http://schemas.microsoft.com/office/drawing/2014/chart" uri="{C3380CC4-5D6E-409C-BE32-E72D297353CC}">
              <c16:uniqueId val="{00000000-134D-418E-BCED-F0F631C160D7}"/>
            </c:ext>
          </c:extLst>
        </c:ser>
        <c:ser>
          <c:idx val="0"/>
          <c:order val="1"/>
          <c:tx>
            <c:strRef>
              <c:f>old!$D$93</c:f>
              <c:strCache>
                <c:ptCount val="1"/>
                <c:pt idx="0">
                  <c:v>CITY&lt;&gt;RING</c:v>
                </c:pt>
              </c:strCache>
            </c:strRef>
          </c:tx>
          <c:spPr>
            <a:ln w="28575" cap="rnd">
              <a:solidFill>
                <a:schemeClr val="accent1"/>
              </a:solidFill>
              <a:round/>
            </a:ln>
            <a:effectLst/>
          </c:spPr>
          <c:marker>
            <c:symbol val="none"/>
          </c:marker>
          <c:val>
            <c:numRef>
              <c:f>old!$D$94:$D$97</c:f>
              <c:numCache>
                <c:formatCode>0.000</c:formatCode>
                <c:ptCount val="4"/>
                <c:pt idx="0">
                  <c:v>0.63568372446246579</c:v>
                </c:pt>
                <c:pt idx="1">
                  <c:v>0.61661321272859182</c:v>
                </c:pt>
                <c:pt idx="2">
                  <c:v>0.59811481634673402</c:v>
                </c:pt>
                <c:pt idx="3">
                  <c:v>0.58017137185633194</c:v>
                </c:pt>
              </c:numCache>
            </c:numRef>
          </c:val>
          <c:smooth val="0"/>
          <c:extLst>
            <c:ext xmlns:c16="http://schemas.microsoft.com/office/drawing/2014/chart" uri="{C3380CC4-5D6E-409C-BE32-E72D297353CC}">
              <c16:uniqueId val="{00000001-134D-418E-BCED-F0F631C160D7}"/>
            </c:ext>
          </c:extLst>
        </c:ser>
        <c:ser>
          <c:idx val="2"/>
          <c:order val="2"/>
          <c:tx>
            <c:strRef>
              <c:f>old!$E$93</c:f>
              <c:strCache>
                <c:ptCount val="1"/>
                <c:pt idx="0">
                  <c:v>RING&lt;&gt;RING</c:v>
                </c:pt>
              </c:strCache>
            </c:strRef>
          </c:tx>
          <c:spPr>
            <a:ln w="28575" cap="rnd">
              <a:solidFill>
                <a:schemeClr val="accent3"/>
              </a:solidFill>
              <a:round/>
            </a:ln>
            <a:effectLst/>
          </c:spPr>
          <c:marker>
            <c:symbol val="none"/>
          </c:marker>
          <c:val>
            <c:numRef>
              <c:f>old!$E$94:$E$97</c:f>
              <c:numCache>
                <c:formatCode>0.000</c:formatCode>
                <c:ptCount val="4"/>
                <c:pt idx="0">
                  <c:v>2.4685717966625758</c:v>
                </c:pt>
                <c:pt idx="1">
                  <c:v>2.4812854711518249</c:v>
                </c:pt>
                <c:pt idx="2">
                  <c:v>2.4936177354063966</c:v>
                </c:pt>
                <c:pt idx="3">
                  <c:v>2.5055800317333312</c:v>
                </c:pt>
              </c:numCache>
            </c:numRef>
          </c:val>
          <c:smooth val="0"/>
          <c:extLst>
            <c:ext xmlns:c16="http://schemas.microsoft.com/office/drawing/2014/chart" uri="{C3380CC4-5D6E-409C-BE32-E72D297353CC}">
              <c16:uniqueId val="{00000002-134D-418E-BCED-F0F631C160D7}"/>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49601042964517811"/>
          <c:h val="0.74946324017190158"/>
        </c:manualLayout>
      </c:layout>
      <c:lineChart>
        <c:grouping val="standard"/>
        <c:varyColors val="0"/>
        <c:ser>
          <c:idx val="1"/>
          <c:order val="0"/>
          <c:tx>
            <c:strRef>
              <c:f>old!$K$93</c:f>
              <c:strCache>
                <c:ptCount val="1"/>
                <c:pt idx="0">
                  <c:v>CITY&lt;&gt;CITY</c:v>
                </c:pt>
              </c:strCache>
            </c:strRef>
          </c:tx>
          <c:spPr>
            <a:ln w="28575" cap="rnd">
              <a:solidFill>
                <a:schemeClr val="accent2"/>
              </a:solidFill>
              <a:round/>
            </a:ln>
            <a:effectLst/>
          </c:spPr>
          <c:marker>
            <c:symbol val="none"/>
          </c:marker>
          <c:cat>
            <c:numRef>
              <c:f>old!$J$94:$J$97</c:f>
              <c:numCache>
                <c:formatCode>General</c:formatCode>
                <c:ptCount val="4"/>
                <c:pt idx="0">
                  <c:v>2020</c:v>
                </c:pt>
                <c:pt idx="1">
                  <c:v>2030</c:v>
                </c:pt>
                <c:pt idx="2">
                  <c:v>2040</c:v>
                </c:pt>
                <c:pt idx="3">
                  <c:v>2050</c:v>
                </c:pt>
              </c:numCache>
            </c:numRef>
          </c:cat>
          <c:val>
            <c:numRef>
              <c:f>old!$K$94:$K$97</c:f>
              <c:numCache>
                <c:formatCode>0.000</c:formatCode>
                <c:ptCount val="4"/>
                <c:pt idx="0">
                  <c:v>3.9613503469814746</c:v>
                </c:pt>
                <c:pt idx="1">
                  <c:v>3.9677071842260991</c:v>
                </c:pt>
                <c:pt idx="2">
                  <c:v>3.9738097479809387</c:v>
                </c:pt>
                <c:pt idx="3">
                  <c:v>3.9796682091855846</c:v>
                </c:pt>
              </c:numCache>
            </c:numRef>
          </c:val>
          <c:smooth val="0"/>
          <c:extLst>
            <c:ext xmlns:c16="http://schemas.microsoft.com/office/drawing/2014/chart" uri="{C3380CC4-5D6E-409C-BE32-E72D297353CC}">
              <c16:uniqueId val="{00000000-2466-4419-9BEF-435435294638}"/>
            </c:ext>
          </c:extLst>
        </c:ser>
        <c:ser>
          <c:idx val="0"/>
          <c:order val="1"/>
          <c:tx>
            <c:strRef>
              <c:f>old!$L$93</c:f>
              <c:strCache>
                <c:ptCount val="1"/>
                <c:pt idx="0">
                  <c:v>CITY&lt;&gt;RING</c:v>
                </c:pt>
              </c:strCache>
            </c:strRef>
          </c:tx>
          <c:spPr>
            <a:ln w="28575" cap="rnd">
              <a:solidFill>
                <a:schemeClr val="accent1"/>
              </a:solidFill>
              <a:round/>
            </a:ln>
            <a:effectLst/>
          </c:spPr>
          <c:marker>
            <c:symbol val="none"/>
          </c:marker>
          <c:cat>
            <c:numRef>
              <c:f>old!$J$94:$J$97</c:f>
              <c:numCache>
                <c:formatCode>General</c:formatCode>
                <c:ptCount val="4"/>
                <c:pt idx="0">
                  <c:v>2020</c:v>
                </c:pt>
                <c:pt idx="1">
                  <c:v>2030</c:v>
                </c:pt>
                <c:pt idx="2">
                  <c:v>2040</c:v>
                </c:pt>
                <c:pt idx="3">
                  <c:v>2050</c:v>
                </c:pt>
              </c:numCache>
            </c:numRef>
          </c:cat>
          <c:val>
            <c:numRef>
              <c:f>old!$L$94:$L$97</c:f>
              <c:numCache>
                <c:formatCode>0.000</c:formatCode>
                <c:ptCount val="4"/>
                <c:pt idx="0">
                  <c:v>0.63568372446246579</c:v>
                </c:pt>
                <c:pt idx="1">
                  <c:v>0.61025637548396716</c:v>
                </c:pt>
                <c:pt idx="2">
                  <c:v>0.58584612046460849</c:v>
                </c:pt>
                <c:pt idx="3">
                  <c:v>0.56241227564602414</c:v>
                </c:pt>
              </c:numCache>
            </c:numRef>
          </c:val>
          <c:smooth val="0"/>
          <c:extLst>
            <c:ext xmlns:c16="http://schemas.microsoft.com/office/drawing/2014/chart" uri="{C3380CC4-5D6E-409C-BE32-E72D297353CC}">
              <c16:uniqueId val="{00000001-2466-4419-9BEF-435435294638}"/>
            </c:ext>
          </c:extLst>
        </c:ser>
        <c:ser>
          <c:idx val="2"/>
          <c:order val="2"/>
          <c:tx>
            <c:strRef>
              <c:f>old!$M$93</c:f>
              <c:strCache>
                <c:ptCount val="1"/>
                <c:pt idx="0">
                  <c:v>RING&lt;&gt;RING</c:v>
                </c:pt>
              </c:strCache>
            </c:strRef>
          </c:tx>
          <c:spPr>
            <a:ln w="28575" cap="rnd">
              <a:solidFill>
                <a:schemeClr val="accent3"/>
              </a:solidFill>
              <a:round/>
            </a:ln>
            <a:effectLst/>
          </c:spPr>
          <c:marker>
            <c:symbol val="none"/>
          </c:marker>
          <c:cat>
            <c:numRef>
              <c:f>old!$J$94:$J$97</c:f>
              <c:numCache>
                <c:formatCode>General</c:formatCode>
                <c:ptCount val="4"/>
                <c:pt idx="0">
                  <c:v>2020</c:v>
                </c:pt>
                <c:pt idx="1">
                  <c:v>2030</c:v>
                </c:pt>
                <c:pt idx="2">
                  <c:v>2040</c:v>
                </c:pt>
                <c:pt idx="3">
                  <c:v>2050</c:v>
                </c:pt>
              </c:numCache>
            </c:numRef>
          </c:cat>
          <c:val>
            <c:numRef>
              <c:f>old!$M$94:$M$97</c:f>
              <c:numCache>
                <c:formatCode>0.000</c:formatCode>
                <c:ptCount val="4"/>
                <c:pt idx="0">
                  <c:v>2.4685717966625758</c:v>
                </c:pt>
                <c:pt idx="1">
                  <c:v>2.4876423083964498</c:v>
                </c:pt>
                <c:pt idx="2">
                  <c:v>2.5059499996609689</c:v>
                </c:pt>
                <c:pt idx="3">
                  <c:v>2.5235253832749072</c:v>
                </c:pt>
              </c:numCache>
            </c:numRef>
          </c:val>
          <c:smooth val="0"/>
          <c:extLst>
            <c:ext xmlns:c16="http://schemas.microsoft.com/office/drawing/2014/chart" uri="{C3380CC4-5D6E-409C-BE32-E72D297353CC}">
              <c16:uniqueId val="{00000002-2466-4419-9BEF-435435294638}"/>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588001112264068E-2"/>
          <c:y val="6.5934065934065936E-2"/>
          <c:w val="0.86903904453803738"/>
          <c:h val="0.74946324017190158"/>
        </c:manualLayout>
      </c:layout>
      <c:lineChart>
        <c:grouping val="standard"/>
        <c:varyColors val="0"/>
        <c:ser>
          <c:idx val="1"/>
          <c:order val="0"/>
          <c:tx>
            <c:strRef>
              <c:f>old!$C$112</c:f>
              <c:strCache>
                <c:ptCount val="1"/>
                <c:pt idx="0">
                  <c:v>Dmnl/Year</c:v>
                </c:pt>
              </c:strCache>
            </c:strRef>
          </c:tx>
          <c:spPr>
            <a:ln w="28575" cap="rnd">
              <a:solidFill>
                <a:schemeClr val="accent2"/>
              </a:solidFill>
              <a:round/>
            </a:ln>
            <a:effectLst/>
          </c:spPr>
          <c:marker>
            <c:symbol val="none"/>
          </c:marker>
          <c:cat>
            <c:numRef>
              <c:f>old!$B$113:$B$120</c:f>
              <c:numCache>
                <c:formatCode>General</c:formatCode>
                <c:ptCount val="8"/>
                <c:pt idx="0">
                  <c:v>2020</c:v>
                </c:pt>
                <c:pt idx="1">
                  <c:v>2025</c:v>
                </c:pt>
                <c:pt idx="2">
                  <c:v>2030</c:v>
                </c:pt>
                <c:pt idx="3">
                  <c:v>2035</c:v>
                </c:pt>
                <c:pt idx="4">
                  <c:v>2040</c:v>
                </c:pt>
                <c:pt idx="5">
                  <c:v>2045</c:v>
                </c:pt>
                <c:pt idx="6">
                  <c:v>2050</c:v>
                </c:pt>
                <c:pt idx="7">
                  <c:v>2060</c:v>
                </c:pt>
              </c:numCache>
            </c:numRef>
          </c:cat>
          <c:val>
            <c:numRef>
              <c:f>old!$C$113:$C$120</c:f>
              <c:numCache>
                <c:formatCode>0.000</c:formatCode>
                <c:ptCount val="8"/>
                <c:pt idx="0">
                  <c:v>3.0153158902361199E-2</c:v>
                </c:pt>
                <c:pt idx="1">
                  <c:v>0.03</c:v>
                </c:pt>
                <c:pt idx="2">
                  <c:v>3.0499999999999999E-2</c:v>
                </c:pt>
                <c:pt idx="3">
                  <c:v>3.1E-2</c:v>
                </c:pt>
                <c:pt idx="4">
                  <c:v>3.2000000000000001E-2</c:v>
                </c:pt>
                <c:pt idx="5">
                  <c:v>3.4000000000000002E-2</c:v>
                </c:pt>
                <c:pt idx="6">
                  <c:v>3.5000000000000003E-2</c:v>
                </c:pt>
                <c:pt idx="7">
                  <c:v>3.5000000000000003E-2</c:v>
                </c:pt>
              </c:numCache>
            </c:numRef>
          </c:val>
          <c:smooth val="0"/>
          <c:extLst>
            <c:ext xmlns:c16="http://schemas.microsoft.com/office/drawing/2014/chart" uri="{C3380CC4-5D6E-409C-BE32-E72D297353CC}">
              <c16:uniqueId val="{00000000-1807-4372-888C-F07BA0D91CFB}"/>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max val="5.000000000000001E-2"/>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3874661950593"/>
          <c:y val="4.9617256477988703E-2"/>
          <c:w val="0.86903904453803738"/>
          <c:h val="0.74946324017190158"/>
        </c:manualLayout>
      </c:layout>
      <c:lineChart>
        <c:grouping val="standard"/>
        <c:varyColors val="0"/>
        <c:ser>
          <c:idx val="1"/>
          <c:order val="0"/>
          <c:tx>
            <c:strRef>
              <c:f>old!$K$112</c:f>
              <c:strCache>
                <c:ptCount val="1"/>
                <c:pt idx="0">
                  <c:v>Dmnl/Year</c:v>
                </c:pt>
              </c:strCache>
            </c:strRef>
          </c:tx>
          <c:spPr>
            <a:ln w="28575" cap="rnd">
              <a:solidFill>
                <a:schemeClr val="accent2"/>
              </a:solidFill>
              <a:round/>
            </a:ln>
            <a:effectLst/>
          </c:spPr>
          <c:marker>
            <c:symbol val="none"/>
          </c:marker>
          <c:cat>
            <c:strRef>
              <c:f>old!$J$113:$J$121</c:f>
              <c:strCache>
                <c:ptCount val="9"/>
                <c:pt idx="0">
                  <c:v>2020</c:v>
                </c:pt>
                <c:pt idx="1">
                  <c:v>2025</c:v>
                </c:pt>
                <c:pt idx="2">
                  <c:v>2030</c:v>
                </c:pt>
                <c:pt idx="3">
                  <c:v>2035</c:v>
                </c:pt>
                <c:pt idx="4">
                  <c:v>2040</c:v>
                </c:pt>
                <c:pt idx="5">
                  <c:v>2045</c:v>
                </c:pt>
                <c:pt idx="6">
                  <c:v>2050</c:v>
                </c:pt>
                <c:pt idx="7">
                  <c:v>2060</c:v>
                </c:pt>
                <c:pt idx="8">
                  <c:v>Array:</c:v>
                </c:pt>
              </c:strCache>
            </c:strRef>
          </c:cat>
          <c:val>
            <c:numRef>
              <c:f>old!$K$113:$K$120</c:f>
              <c:numCache>
                <c:formatCode>0.000</c:formatCode>
                <c:ptCount val="8"/>
                <c:pt idx="0">
                  <c:v>3.0153158902361199E-2</c:v>
                </c:pt>
                <c:pt idx="1">
                  <c:v>0.03</c:v>
                </c:pt>
                <c:pt idx="2">
                  <c:v>3.1E-2</c:v>
                </c:pt>
                <c:pt idx="3">
                  <c:v>3.3000000000000002E-2</c:v>
                </c:pt>
                <c:pt idx="4">
                  <c:v>3.5000000000000003E-2</c:v>
                </c:pt>
                <c:pt idx="5">
                  <c:v>3.9E-2</c:v>
                </c:pt>
                <c:pt idx="6">
                  <c:v>0.04</c:v>
                </c:pt>
                <c:pt idx="7">
                  <c:v>0.04</c:v>
                </c:pt>
              </c:numCache>
            </c:numRef>
          </c:val>
          <c:smooth val="0"/>
          <c:extLst>
            <c:ext xmlns:c16="http://schemas.microsoft.com/office/drawing/2014/chart" uri="{C3380CC4-5D6E-409C-BE32-E72D297353CC}">
              <c16:uniqueId val="{00000000-5540-4F3A-9B1C-61AED314B699}"/>
            </c:ext>
          </c:extLst>
        </c:ser>
        <c:dLbls>
          <c:showLegendKey val="0"/>
          <c:showVal val="0"/>
          <c:showCatName val="0"/>
          <c:showSerName val="0"/>
          <c:showPercent val="0"/>
          <c:showBubbleSize val="0"/>
        </c:dLbls>
        <c:smooth val="0"/>
        <c:axId val="285491343"/>
        <c:axId val="285491823"/>
      </c:lineChart>
      <c:catAx>
        <c:axId val="28549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823"/>
        <c:crosses val="autoZero"/>
        <c:auto val="1"/>
        <c:lblAlgn val="ctr"/>
        <c:lblOffset val="100"/>
        <c:noMultiLvlLbl val="0"/>
      </c:catAx>
      <c:valAx>
        <c:axId val="285491823"/>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85491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2" Type="http://schemas.openxmlformats.org/officeDocument/2006/relationships/chart" Target="../charts/chart6.xml"/><Relationship Id="rId16" Type="http://schemas.openxmlformats.org/officeDocument/2006/relationships/chart" Target="../charts/chart20.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5" Type="http://schemas.openxmlformats.org/officeDocument/2006/relationships/chart" Target="../charts/chart19.xml"/><Relationship Id="rId10" Type="http://schemas.openxmlformats.org/officeDocument/2006/relationships/chart" Target="../charts/chart14.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_rels/drawing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drawing1.xml><?xml version="1.0" encoding="utf-8"?>
<xdr:wsDr xmlns:xdr="http://schemas.openxmlformats.org/drawingml/2006/spreadsheetDrawing" xmlns:a="http://schemas.openxmlformats.org/drawingml/2006/main">
  <xdr:twoCellAnchor editAs="oneCell">
    <xdr:from>
      <xdr:col>5</xdr:col>
      <xdr:colOff>472440</xdr:colOff>
      <xdr:row>235</xdr:row>
      <xdr:rowOff>155712</xdr:rowOff>
    </xdr:from>
    <xdr:to>
      <xdr:col>11</xdr:col>
      <xdr:colOff>20956</xdr:colOff>
      <xdr:row>254</xdr:row>
      <xdr:rowOff>20682</xdr:rowOff>
    </xdr:to>
    <xdr:pic>
      <xdr:nvPicPr>
        <xdr:cNvPr id="2" name="Picture 1" descr="Synthèse mobilités #12 - Hypothèses d'évolution du taux de motorisation des ménages à Paris et dans la métropole d'ici à 2030 © Apur">
          <a:extLst>
            <a:ext uri="{FF2B5EF4-FFF2-40B4-BE49-F238E27FC236}">
              <a16:creationId xmlns:a16="http://schemas.microsoft.com/office/drawing/2014/main" id="{9F7E136F-3A2E-E3F8-09D7-FAAD8F25F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9660" y="24455892"/>
          <a:ext cx="6073140" cy="33418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166551</xdr:colOff>
      <xdr:row>170</xdr:row>
      <xdr:rowOff>33745</xdr:rowOff>
    </xdr:from>
    <xdr:to>
      <xdr:col>8</xdr:col>
      <xdr:colOff>467425</xdr:colOff>
      <xdr:row>184</xdr:row>
      <xdr:rowOff>26446</xdr:rowOff>
    </xdr:to>
    <xdr:pic>
      <xdr:nvPicPr>
        <xdr:cNvPr id="3" name="Picture 2">
          <a:extLst>
            <a:ext uri="{FF2B5EF4-FFF2-40B4-BE49-F238E27FC236}">
              <a16:creationId xmlns:a16="http://schemas.microsoft.com/office/drawing/2014/main" id="{02E677B1-F2A0-7650-4F9F-71B8AB501836}"/>
            </a:ext>
          </a:extLst>
        </xdr:cNvPr>
        <xdr:cNvPicPr>
          <a:picLocks noChangeAspect="1"/>
        </xdr:cNvPicPr>
      </xdr:nvPicPr>
      <xdr:blipFill>
        <a:blip xmlns:r="http://schemas.openxmlformats.org/officeDocument/2006/relationships" r:embed="rId2"/>
        <a:stretch>
          <a:fillRect/>
        </a:stretch>
      </xdr:blipFill>
      <xdr:spPr>
        <a:xfrm>
          <a:off x="9152708" y="27209931"/>
          <a:ext cx="4640223" cy="2582109"/>
        </a:xfrm>
        <a:prstGeom prst="rect">
          <a:avLst/>
        </a:prstGeom>
      </xdr:spPr>
    </xdr:pic>
    <xdr:clientData/>
  </xdr:twoCellAnchor>
  <xdr:twoCellAnchor editAs="oneCell">
    <xdr:from>
      <xdr:col>8</xdr:col>
      <xdr:colOff>99810</xdr:colOff>
      <xdr:row>171</xdr:row>
      <xdr:rowOff>15241</xdr:rowOff>
    </xdr:from>
    <xdr:to>
      <xdr:col>13</xdr:col>
      <xdr:colOff>360699</xdr:colOff>
      <xdr:row>183</xdr:row>
      <xdr:rowOff>152399</xdr:rowOff>
    </xdr:to>
    <xdr:pic>
      <xdr:nvPicPr>
        <xdr:cNvPr id="4" name="Picture 3">
          <a:extLst>
            <a:ext uri="{FF2B5EF4-FFF2-40B4-BE49-F238E27FC236}">
              <a16:creationId xmlns:a16="http://schemas.microsoft.com/office/drawing/2014/main" id="{F553C4BB-2BC5-77B7-4FD6-7C1018C18FF2}"/>
            </a:ext>
          </a:extLst>
        </xdr:cNvPr>
        <xdr:cNvPicPr>
          <a:picLocks noChangeAspect="1"/>
        </xdr:cNvPicPr>
      </xdr:nvPicPr>
      <xdr:blipFill>
        <a:blip xmlns:r="http://schemas.openxmlformats.org/officeDocument/2006/relationships" r:embed="rId3"/>
        <a:stretch>
          <a:fillRect/>
        </a:stretch>
      </xdr:blipFill>
      <xdr:spPr>
        <a:xfrm>
          <a:off x="13015710" y="21572221"/>
          <a:ext cx="4063268" cy="233171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7955</xdr:colOff>
      <xdr:row>5</xdr:row>
      <xdr:rowOff>21667</xdr:rowOff>
    </xdr:from>
    <xdr:to>
      <xdr:col>7</xdr:col>
      <xdr:colOff>742532</xdr:colOff>
      <xdr:row>12</xdr:row>
      <xdr:rowOff>97867</xdr:rowOff>
    </xdr:to>
    <xdr:graphicFrame macro="">
      <xdr:nvGraphicFramePr>
        <xdr:cNvPr id="2" name="Chart 1">
          <a:extLst>
            <a:ext uri="{FF2B5EF4-FFF2-40B4-BE49-F238E27FC236}">
              <a16:creationId xmlns:a16="http://schemas.microsoft.com/office/drawing/2014/main" id="{609B42D0-021D-4498-826C-4A0AA2C028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617449</xdr:colOff>
      <xdr:row>15</xdr:row>
      <xdr:rowOff>148568</xdr:rowOff>
    </xdr:from>
    <xdr:to>
      <xdr:col>7</xdr:col>
      <xdr:colOff>308463</xdr:colOff>
      <xdr:row>21</xdr:row>
      <xdr:rowOff>16852</xdr:rowOff>
    </xdr:to>
    <xdr:graphicFrame macro="">
      <xdr:nvGraphicFramePr>
        <xdr:cNvPr id="6" name="Chart 5">
          <a:extLst>
            <a:ext uri="{FF2B5EF4-FFF2-40B4-BE49-F238E27FC236}">
              <a16:creationId xmlns:a16="http://schemas.microsoft.com/office/drawing/2014/main" id="{93A59429-C561-44FA-828E-20F334FB53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639430</xdr:colOff>
      <xdr:row>15</xdr:row>
      <xdr:rowOff>148568</xdr:rowOff>
    </xdr:from>
    <xdr:to>
      <xdr:col>15</xdr:col>
      <xdr:colOff>301136</xdr:colOff>
      <xdr:row>21</xdr:row>
      <xdr:rowOff>16852</xdr:rowOff>
    </xdr:to>
    <xdr:graphicFrame macro="">
      <xdr:nvGraphicFramePr>
        <xdr:cNvPr id="7" name="Chart 6">
          <a:extLst>
            <a:ext uri="{FF2B5EF4-FFF2-40B4-BE49-F238E27FC236}">
              <a16:creationId xmlns:a16="http://schemas.microsoft.com/office/drawing/2014/main" id="{8FD4031C-CC7B-4DA4-82CB-2D5AC5C4A1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168519</xdr:colOff>
      <xdr:row>5</xdr:row>
      <xdr:rowOff>43961</xdr:rowOff>
    </xdr:from>
    <xdr:to>
      <xdr:col>15</xdr:col>
      <xdr:colOff>245871</xdr:colOff>
      <xdr:row>12</xdr:row>
      <xdr:rowOff>120161</xdr:rowOff>
    </xdr:to>
    <xdr:graphicFrame macro="">
      <xdr:nvGraphicFramePr>
        <xdr:cNvPr id="9" name="Chart 8">
          <a:extLst>
            <a:ext uri="{FF2B5EF4-FFF2-40B4-BE49-F238E27FC236}">
              <a16:creationId xmlns:a16="http://schemas.microsoft.com/office/drawing/2014/main" id="{095BDA04-AB59-441B-92BC-C9A66C0AA3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137160</xdr:colOff>
      <xdr:row>15</xdr:row>
      <xdr:rowOff>167640</xdr:rowOff>
    </xdr:from>
    <xdr:to>
      <xdr:col>9</xdr:col>
      <xdr:colOff>38100</xdr:colOff>
      <xdr:row>25</xdr:row>
      <xdr:rowOff>72390</xdr:rowOff>
    </xdr:to>
    <xdr:graphicFrame macro="">
      <xdr:nvGraphicFramePr>
        <xdr:cNvPr id="2" name="Chart 1">
          <a:extLst>
            <a:ext uri="{FF2B5EF4-FFF2-40B4-BE49-F238E27FC236}">
              <a16:creationId xmlns:a16="http://schemas.microsoft.com/office/drawing/2014/main" id="{5404B81E-5F5F-2A10-DF3C-BAFDDD3F19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137160</xdr:colOff>
      <xdr:row>322</xdr:row>
      <xdr:rowOff>167640</xdr:rowOff>
    </xdr:from>
    <xdr:to>
      <xdr:col>9</xdr:col>
      <xdr:colOff>38100</xdr:colOff>
      <xdr:row>332</xdr:row>
      <xdr:rowOff>72390</xdr:rowOff>
    </xdr:to>
    <xdr:graphicFrame macro="">
      <xdr:nvGraphicFramePr>
        <xdr:cNvPr id="5" name="Chart 4">
          <a:extLst>
            <a:ext uri="{FF2B5EF4-FFF2-40B4-BE49-F238E27FC236}">
              <a16:creationId xmlns:a16="http://schemas.microsoft.com/office/drawing/2014/main" id="{282B3DAF-F20D-41EE-9D2A-AD0F3C926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137160</xdr:colOff>
      <xdr:row>229</xdr:row>
      <xdr:rowOff>167640</xdr:rowOff>
    </xdr:from>
    <xdr:to>
      <xdr:col>9</xdr:col>
      <xdr:colOff>38100</xdr:colOff>
      <xdr:row>239</xdr:row>
      <xdr:rowOff>72390</xdr:rowOff>
    </xdr:to>
    <xdr:graphicFrame macro="">
      <xdr:nvGraphicFramePr>
        <xdr:cNvPr id="6" name="Chart 5">
          <a:extLst>
            <a:ext uri="{FF2B5EF4-FFF2-40B4-BE49-F238E27FC236}">
              <a16:creationId xmlns:a16="http://schemas.microsoft.com/office/drawing/2014/main" id="{0F26F53A-C13D-40C9-94CC-AC3A54D801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281940</xdr:colOff>
      <xdr:row>255</xdr:row>
      <xdr:rowOff>60960</xdr:rowOff>
    </xdr:from>
    <xdr:to>
      <xdr:col>8</xdr:col>
      <xdr:colOff>213360</xdr:colOff>
      <xdr:row>265</xdr:row>
      <xdr:rowOff>91440</xdr:rowOff>
    </xdr:to>
    <xdr:graphicFrame macro="">
      <xdr:nvGraphicFramePr>
        <xdr:cNvPr id="4" name="Chart 3">
          <a:extLst>
            <a:ext uri="{FF2B5EF4-FFF2-40B4-BE49-F238E27FC236}">
              <a16:creationId xmlns:a16="http://schemas.microsoft.com/office/drawing/2014/main" id="{914FE983-6006-4A37-88B0-B88E49E903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137160</xdr:colOff>
      <xdr:row>350</xdr:row>
      <xdr:rowOff>167640</xdr:rowOff>
    </xdr:from>
    <xdr:to>
      <xdr:col>9</xdr:col>
      <xdr:colOff>38100</xdr:colOff>
      <xdr:row>360</xdr:row>
      <xdr:rowOff>72390</xdr:rowOff>
    </xdr:to>
    <xdr:graphicFrame macro="">
      <xdr:nvGraphicFramePr>
        <xdr:cNvPr id="7" name="Chart 6">
          <a:extLst>
            <a:ext uri="{FF2B5EF4-FFF2-40B4-BE49-F238E27FC236}">
              <a16:creationId xmlns:a16="http://schemas.microsoft.com/office/drawing/2014/main" id="{D6EFC98C-9B41-4FAF-9E39-56D0B830A0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91440</xdr:colOff>
      <xdr:row>374</xdr:row>
      <xdr:rowOff>60960</xdr:rowOff>
    </xdr:from>
    <xdr:to>
      <xdr:col>8</xdr:col>
      <xdr:colOff>601980</xdr:colOff>
      <xdr:row>379</xdr:row>
      <xdr:rowOff>76200</xdr:rowOff>
    </xdr:to>
    <xdr:graphicFrame macro="">
      <xdr:nvGraphicFramePr>
        <xdr:cNvPr id="8" name="Chart 7">
          <a:extLst>
            <a:ext uri="{FF2B5EF4-FFF2-40B4-BE49-F238E27FC236}">
              <a16:creationId xmlns:a16="http://schemas.microsoft.com/office/drawing/2014/main" id="{7F331C1B-12C9-4B3A-8642-F6654605A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137160</xdr:colOff>
      <xdr:row>39</xdr:row>
      <xdr:rowOff>167640</xdr:rowOff>
    </xdr:from>
    <xdr:to>
      <xdr:col>9</xdr:col>
      <xdr:colOff>38100</xdr:colOff>
      <xdr:row>49</xdr:row>
      <xdr:rowOff>72390</xdr:rowOff>
    </xdr:to>
    <xdr:graphicFrame macro="">
      <xdr:nvGraphicFramePr>
        <xdr:cNvPr id="9" name="Chart 8">
          <a:extLst>
            <a:ext uri="{FF2B5EF4-FFF2-40B4-BE49-F238E27FC236}">
              <a16:creationId xmlns:a16="http://schemas.microsoft.com/office/drawing/2014/main" id="{7DC3F651-18B9-4B91-8CCA-016B214268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373380</xdr:colOff>
      <xdr:row>63</xdr:row>
      <xdr:rowOff>175260</xdr:rowOff>
    </xdr:from>
    <xdr:to>
      <xdr:col>10</xdr:col>
      <xdr:colOff>266700</xdr:colOff>
      <xdr:row>73</xdr:row>
      <xdr:rowOff>80010</xdr:rowOff>
    </xdr:to>
    <xdr:graphicFrame macro="">
      <xdr:nvGraphicFramePr>
        <xdr:cNvPr id="10" name="Chart 9">
          <a:extLst>
            <a:ext uri="{FF2B5EF4-FFF2-40B4-BE49-F238E27FC236}">
              <a16:creationId xmlns:a16="http://schemas.microsoft.com/office/drawing/2014/main" id="{5FD41FD3-06C5-45C1-BA53-96C227B9D1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137160</xdr:colOff>
      <xdr:row>87</xdr:row>
      <xdr:rowOff>167640</xdr:rowOff>
    </xdr:from>
    <xdr:to>
      <xdr:col>9</xdr:col>
      <xdr:colOff>38100</xdr:colOff>
      <xdr:row>97</xdr:row>
      <xdr:rowOff>72390</xdr:rowOff>
    </xdr:to>
    <xdr:graphicFrame macro="">
      <xdr:nvGraphicFramePr>
        <xdr:cNvPr id="12" name="Chart 11">
          <a:extLst>
            <a:ext uri="{FF2B5EF4-FFF2-40B4-BE49-F238E27FC236}">
              <a16:creationId xmlns:a16="http://schemas.microsoft.com/office/drawing/2014/main" id="{74B99712-74A2-473D-B3F3-B86A22FB02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137160</xdr:colOff>
      <xdr:row>135</xdr:row>
      <xdr:rowOff>167640</xdr:rowOff>
    </xdr:from>
    <xdr:to>
      <xdr:col>9</xdr:col>
      <xdr:colOff>38100</xdr:colOff>
      <xdr:row>145</xdr:row>
      <xdr:rowOff>72390</xdr:rowOff>
    </xdr:to>
    <xdr:graphicFrame macro="">
      <xdr:nvGraphicFramePr>
        <xdr:cNvPr id="13" name="Chart 12">
          <a:extLst>
            <a:ext uri="{FF2B5EF4-FFF2-40B4-BE49-F238E27FC236}">
              <a16:creationId xmlns:a16="http://schemas.microsoft.com/office/drawing/2014/main" id="{DF5130E7-5CB3-454E-8C27-688F179CE0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137160</xdr:colOff>
      <xdr:row>159</xdr:row>
      <xdr:rowOff>167640</xdr:rowOff>
    </xdr:from>
    <xdr:to>
      <xdr:col>9</xdr:col>
      <xdr:colOff>38100</xdr:colOff>
      <xdr:row>169</xdr:row>
      <xdr:rowOff>72390</xdr:rowOff>
    </xdr:to>
    <xdr:graphicFrame macro="">
      <xdr:nvGraphicFramePr>
        <xdr:cNvPr id="14" name="Chart 13">
          <a:extLst>
            <a:ext uri="{FF2B5EF4-FFF2-40B4-BE49-F238E27FC236}">
              <a16:creationId xmlns:a16="http://schemas.microsoft.com/office/drawing/2014/main" id="{6736A113-1AAA-46EC-8AC0-CADA8248F9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137160</xdr:colOff>
      <xdr:row>182</xdr:row>
      <xdr:rowOff>167640</xdr:rowOff>
    </xdr:from>
    <xdr:to>
      <xdr:col>9</xdr:col>
      <xdr:colOff>38100</xdr:colOff>
      <xdr:row>192</xdr:row>
      <xdr:rowOff>72390</xdr:rowOff>
    </xdr:to>
    <xdr:graphicFrame macro="">
      <xdr:nvGraphicFramePr>
        <xdr:cNvPr id="15" name="Chart 14">
          <a:extLst>
            <a:ext uri="{FF2B5EF4-FFF2-40B4-BE49-F238E27FC236}">
              <a16:creationId xmlns:a16="http://schemas.microsoft.com/office/drawing/2014/main" id="{59F07AA0-8C2B-481C-B34D-D3F6D01A81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137160</xdr:colOff>
      <xdr:row>111</xdr:row>
      <xdr:rowOff>167640</xdr:rowOff>
    </xdr:from>
    <xdr:to>
      <xdr:col>9</xdr:col>
      <xdr:colOff>38100</xdr:colOff>
      <xdr:row>121</xdr:row>
      <xdr:rowOff>72390</xdr:rowOff>
    </xdr:to>
    <xdr:graphicFrame macro="">
      <xdr:nvGraphicFramePr>
        <xdr:cNvPr id="3" name="Chart 2">
          <a:extLst>
            <a:ext uri="{FF2B5EF4-FFF2-40B4-BE49-F238E27FC236}">
              <a16:creationId xmlns:a16="http://schemas.microsoft.com/office/drawing/2014/main" id="{4F1D616D-48E9-43C1-B547-6319DCF98F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137160</xdr:colOff>
      <xdr:row>205</xdr:row>
      <xdr:rowOff>167640</xdr:rowOff>
    </xdr:from>
    <xdr:to>
      <xdr:col>9</xdr:col>
      <xdr:colOff>38100</xdr:colOff>
      <xdr:row>215</xdr:row>
      <xdr:rowOff>72390</xdr:rowOff>
    </xdr:to>
    <xdr:graphicFrame macro="">
      <xdr:nvGraphicFramePr>
        <xdr:cNvPr id="11" name="Chart 10">
          <a:extLst>
            <a:ext uri="{FF2B5EF4-FFF2-40B4-BE49-F238E27FC236}">
              <a16:creationId xmlns:a16="http://schemas.microsoft.com/office/drawing/2014/main" id="{6D825497-F999-4519-885B-DD677E2222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620485</xdr:colOff>
      <xdr:row>282</xdr:row>
      <xdr:rowOff>76200</xdr:rowOff>
    </xdr:from>
    <xdr:to>
      <xdr:col>7</xdr:col>
      <xdr:colOff>470263</xdr:colOff>
      <xdr:row>292</xdr:row>
      <xdr:rowOff>106681</xdr:rowOff>
    </xdr:to>
    <xdr:graphicFrame macro="">
      <xdr:nvGraphicFramePr>
        <xdr:cNvPr id="16" name="Chart 15">
          <a:extLst>
            <a:ext uri="{FF2B5EF4-FFF2-40B4-BE49-F238E27FC236}">
              <a16:creationId xmlns:a16="http://schemas.microsoft.com/office/drawing/2014/main" id="{C823C343-4735-47B2-B9FB-21B4DE35D9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xdr:col>
      <xdr:colOff>141514</xdr:colOff>
      <xdr:row>299</xdr:row>
      <xdr:rowOff>125185</xdr:rowOff>
    </xdr:from>
    <xdr:to>
      <xdr:col>8</xdr:col>
      <xdr:colOff>72934</xdr:colOff>
      <xdr:row>311</xdr:row>
      <xdr:rowOff>0</xdr:rowOff>
    </xdr:to>
    <xdr:graphicFrame macro="">
      <xdr:nvGraphicFramePr>
        <xdr:cNvPr id="17" name="Chart 16">
          <a:extLst>
            <a:ext uri="{FF2B5EF4-FFF2-40B4-BE49-F238E27FC236}">
              <a16:creationId xmlns:a16="http://schemas.microsoft.com/office/drawing/2014/main" id="{12189A80-7529-42F6-AE29-8C48E01F14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161925</xdr:colOff>
      <xdr:row>9</xdr:row>
      <xdr:rowOff>83682</xdr:rowOff>
    </xdr:from>
    <xdr:to>
      <xdr:col>16</xdr:col>
      <xdr:colOff>187779</xdr:colOff>
      <xdr:row>24</xdr:row>
      <xdr:rowOff>104094</xdr:rowOff>
    </xdr:to>
    <xdr:graphicFrame macro="">
      <xdr:nvGraphicFramePr>
        <xdr:cNvPr id="2" name="Chart 1">
          <a:extLst>
            <a:ext uri="{FF2B5EF4-FFF2-40B4-BE49-F238E27FC236}">
              <a16:creationId xmlns:a16="http://schemas.microsoft.com/office/drawing/2014/main" id="{5CD46EF4-C95F-917D-4108-BD8318EC3D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318407</xdr:colOff>
      <xdr:row>40</xdr:row>
      <xdr:rowOff>95251</xdr:rowOff>
    </xdr:from>
    <xdr:to>
      <xdr:col>16</xdr:col>
      <xdr:colOff>338819</xdr:colOff>
      <xdr:row>55</xdr:row>
      <xdr:rowOff>87089</xdr:rowOff>
    </xdr:to>
    <xdr:graphicFrame macro="">
      <xdr:nvGraphicFramePr>
        <xdr:cNvPr id="3" name="Chart 2">
          <a:extLst>
            <a:ext uri="{FF2B5EF4-FFF2-40B4-BE49-F238E27FC236}">
              <a16:creationId xmlns:a16="http://schemas.microsoft.com/office/drawing/2014/main" id="{E7B82C38-25F9-4CF3-832E-EAC1B3C99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3</xdr:row>
          <xdr:rowOff>174171</xdr:rowOff>
        </xdr:from>
        <xdr:to>
          <xdr:col>8</xdr:col>
          <xdr:colOff>604157</xdr:colOff>
          <xdr:row>5</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14</xdr:row>
          <xdr:rowOff>157843</xdr:rowOff>
        </xdr:from>
        <xdr:to>
          <xdr:col>8</xdr:col>
          <xdr:colOff>604157</xdr:colOff>
          <xdr:row>15</xdr:row>
          <xdr:rowOff>174171</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5443</xdr:colOff>
          <xdr:row>28</xdr:row>
          <xdr:rowOff>168729</xdr:rowOff>
        </xdr:from>
        <xdr:to>
          <xdr:col>9</xdr:col>
          <xdr:colOff>0</xdr:colOff>
          <xdr:row>30</xdr:row>
          <xdr:rowOff>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32657</xdr:colOff>
          <xdr:row>87</xdr:row>
          <xdr:rowOff>168729</xdr:rowOff>
        </xdr:from>
        <xdr:to>
          <xdr:col>7</xdr:col>
          <xdr:colOff>631371</xdr:colOff>
          <xdr:row>89</xdr:row>
          <xdr:rowOff>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702129</xdr:colOff>
          <xdr:row>36</xdr:row>
          <xdr:rowOff>157843</xdr:rowOff>
        </xdr:from>
        <xdr:to>
          <xdr:col>8</xdr:col>
          <xdr:colOff>593271</xdr:colOff>
          <xdr:row>37</xdr:row>
          <xdr:rowOff>174171</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5443</xdr:colOff>
          <xdr:row>49</xdr:row>
          <xdr:rowOff>168729</xdr:rowOff>
        </xdr:from>
        <xdr:to>
          <xdr:col>9</xdr:col>
          <xdr:colOff>0</xdr:colOff>
          <xdr:row>51</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702129</xdr:colOff>
          <xdr:row>57</xdr:row>
          <xdr:rowOff>157843</xdr:rowOff>
        </xdr:from>
        <xdr:to>
          <xdr:col>8</xdr:col>
          <xdr:colOff>593271</xdr:colOff>
          <xdr:row>58</xdr:row>
          <xdr:rowOff>174171</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68</xdr:row>
          <xdr:rowOff>168729</xdr:rowOff>
        </xdr:from>
        <xdr:to>
          <xdr:col>8</xdr:col>
          <xdr:colOff>604157</xdr:colOff>
          <xdr:row>70</xdr:row>
          <xdr:rowOff>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nl-NL" sz="1100" b="0" i="0" u="none" strike="noStrike" baseline="0">
                  <a:solidFill>
                    <a:srgbClr val="000000"/>
                  </a:solidFill>
                  <a:latin typeface="Calibri"/>
                  <a:ea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321438</xdr:colOff>
      <xdr:row>99</xdr:row>
      <xdr:rowOff>129476</xdr:rowOff>
    </xdr:from>
    <xdr:to>
      <xdr:col>4</xdr:col>
      <xdr:colOff>568779</xdr:colOff>
      <xdr:row>107</xdr:row>
      <xdr:rowOff>10256</xdr:rowOff>
    </xdr:to>
    <xdr:graphicFrame macro="">
      <xdr:nvGraphicFramePr>
        <xdr:cNvPr id="2" name="Chart 1">
          <a:extLst>
            <a:ext uri="{FF2B5EF4-FFF2-40B4-BE49-F238E27FC236}">
              <a16:creationId xmlns:a16="http://schemas.microsoft.com/office/drawing/2014/main" id="{01A85A07-AC10-4F9E-97BA-1FD2765C94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122254</xdr:colOff>
      <xdr:row>99</xdr:row>
      <xdr:rowOff>144026</xdr:rowOff>
    </xdr:from>
    <xdr:to>
      <xdr:col>12</xdr:col>
      <xdr:colOff>564173</xdr:colOff>
      <xdr:row>107</xdr:row>
      <xdr:rowOff>29726</xdr:rowOff>
    </xdr:to>
    <xdr:graphicFrame macro="">
      <xdr:nvGraphicFramePr>
        <xdr:cNvPr id="3" name="Chart 2">
          <a:extLst>
            <a:ext uri="{FF2B5EF4-FFF2-40B4-BE49-F238E27FC236}">
              <a16:creationId xmlns:a16="http://schemas.microsoft.com/office/drawing/2014/main" id="{316A6474-3330-406D-9B2E-2952712191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70757</xdr:colOff>
      <xdr:row>111</xdr:row>
      <xdr:rowOff>119743</xdr:rowOff>
    </xdr:from>
    <xdr:to>
      <xdr:col>7</xdr:col>
      <xdr:colOff>543296</xdr:colOff>
      <xdr:row>120</xdr:row>
      <xdr:rowOff>10885</xdr:rowOff>
    </xdr:to>
    <xdr:graphicFrame macro="">
      <xdr:nvGraphicFramePr>
        <xdr:cNvPr id="4" name="Chart 3">
          <a:extLst>
            <a:ext uri="{FF2B5EF4-FFF2-40B4-BE49-F238E27FC236}">
              <a16:creationId xmlns:a16="http://schemas.microsoft.com/office/drawing/2014/main" id="{104A2708-3B4D-4AA1-A43D-1CA85EBF30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70757</xdr:colOff>
      <xdr:row>111</xdr:row>
      <xdr:rowOff>108857</xdr:rowOff>
    </xdr:from>
    <xdr:to>
      <xdr:col>15</xdr:col>
      <xdr:colOff>543296</xdr:colOff>
      <xdr:row>119</xdr:row>
      <xdr:rowOff>185056</xdr:rowOff>
    </xdr:to>
    <xdr:graphicFrame macro="">
      <xdr:nvGraphicFramePr>
        <xdr:cNvPr id="5" name="Chart 4">
          <a:extLst>
            <a:ext uri="{FF2B5EF4-FFF2-40B4-BE49-F238E27FC236}">
              <a16:creationId xmlns:a16="http://schemas.microsoft.com/office/drawing/2014/main" id="{522A3B8D-2B9D-4FD2-B8B2-9A3FCFA67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insee.fr/fr/statistiques/2011101?geo=DEP-94" TargetMode="External"/><Relationship Id="rId13" Type="http://schemas.openxmlformats.org/officeDocument/2006/relationships/hyperlink" Target="https://omni.wikiwand.com/fr/articles/MP_89" TargetMode="External"/><Relationship Id="rId18" Type="http://schemas.openxmlformats.org/officeDocument/2006/relationships/hyperlink" Target="https://omni.wikiwand.com/fr/articles/MF_88" TargetMode="External"/><Relationship Id="rId26" Type="http://schemas.openxmlformats.org/officeDocument/2006/relationships/printerSettings" Target="../printerSettings/printerSettings1.bin"/><Relationship Id="rId3" Type="http://schemas.openxmlformats.org/officeDocument/2006/relationships/hyperlink" Target="https://www.barcelona.cat/mobilitat/sites/default/files/2024-06/240603_PMU2030_S10_EspaiP%C3%BAblic_Quotidiana_Seguretat.pdf" TargetMode="External"/><Relationship Id="rId21" Type="http://schemas.openxmlformats.org/officeDocument/2006/relationships/hyperlink" Target="https://www.institutparisregion.fr/mobilite-et-transports/deplacements/tableau-de-bord-de-la-mobilite-en-ile-de-france/" TargetMode="External"/><Relationship Id="rId7" Type="http://schemas.openxmlformats.org/officeDocument/2006/relationships/hyperlink" Target="https://www.insee.fr/fr/statistiques/2011101?geo=DEP-93" TargetMode="External"/><Relationship Id="rId12" Type="http://schemas.openxmlformats.org/officeDocument/2006/relationships/hyperlink" Target="https://omni.wikiwand.com/fr/articles/MP_73" TargetMode="External"/><Relationship Id="rId17" Type="http://schemas.openxmlformats.org/officeDocument/2006/relationships/hyperlink" Target="https://omni.wikiwand.com/fr/articles/MF_77" TargetMode="External"/><Relationship Id="rId25" Type="http://schemas.openxmlformats.org/officeDocument/2006/relationships/hyperlink" Target="https://www.apur.org/sites/default/files/migrations_residentielles.pdf?token=70JnEg46" TargetMode="External"/><Relationship Id="rId2" Type="http://schemas.openxmlformats.org/officeDocument/2006/relationships/hyperlink" Target="https://www.communes.com/departement-paris" TargetMode="External"/><Relationship Id="rId16" Type="http://schemas.openxmlformats.org/officeDocument/2006/relationships/hyperlink" Target="https://omni.wikiwand.com/fr/articles/MF_67" TargetMode="External"/><Relationship Id="rId20" Type="http://schemas.openxmlformats.org/officeDocument/2006/relationships/hyperlink" Target="https://omni.wikiwand.com/fr/articles/Mat%C3%A9riel_roulant_du_m%C3%A9tro_de_Paris" TargetMode="External"/><Relationship Id="rId1" Type="http://schemas.openxmlformats.org/officeDocument/2006/relationships/hyperlink" Target="https://www.insee.fr/fr/statistiques/2011101?geo=DEP-75" TargetMode="External"/><Relationship Id="rId6" Type="http://schemas.openxmlformats.org/officeDocument/2006/relationships/hyperlink" Target="https://www.insee.fr/fr/statistiques/2011101?geo=DEP-92" TargetMode="External"/><Relationship Id="rId11" Type="http://schemas.openxmlformats.org/officeDocument/2006/relationships/hyperlink" Target="https://www.communes.com/departement-seine-saint-denis" TargetMode="External"/><Relationship Id="rId24" Type="http://schemas.openxmlformats.org/officeDocument/2006/relationships/hyperlink" Target="http://droitauvelo.free.fr/DOC/fh_conso_espace.pdf" TargetMode="External"/><Relationship Id="rId5" Type="http://schemas.openxmlformats.org/officeDocument/2006/relationships/hyperlink" Target="https://www-tandfonline-com.tudelft.idm.oclc.org/doi/full/10.1080/13574809.2019.1592664" TargetMode="External"/><Relationship Id="rId15" Type="http://schemas.openxmlformats.org/officeDocument/2006/relationships/hyperlink" Target="https://omni.wikiwand.com/fr/articles/MP_14" TargetMode="External"/><Relationship Id="rId23" Type="http://schemas.openxmlformats.org/officeDocument/2006/relationships/hyperlink" Target="https://www.insee.fr/fr/statistiques/2011101?geo=DEP-75" TargetMode="External"/><Relationship Id="rId10" Type="http://schemas.openxmlformats.org/officeDocument/2006/relationships/hyperlink" Target="https://www.communes.com/departement-hauts-de-seine" TargetMode="External"/><Relationship Id="rId19" Type="http://schemas.openxmlformats.org/officeDocument/2006/relationships/hyperlink" Target="https://omni.wikiwand.com/fr/articles/MF_01" TargetMode="External"/><Relationship Id="rId4" Type="http://schemas.openxmlformats.org/officeDocument/2006/relationships/hyperlink" Target="https://www.zukunftsnetz-mobilitaet.nrw.de/media/2023/2/7/2caea534db53a1220bc621d33344eb38/TU-Berlin-Flachengerechtigkeit-2022.pdf" TargetMode="External"/><Relationship Id="rId9" Type="http://schemas.openxmlformats.org/officeDocument/2006/relationships/hyperlink" Target="https://www.communes.com/departement-val-de-marne" TargetMode="External"/><Relationship Id="rId14" Type="http://schemas.openxmlformats.org/officeDocument/2006/relationships/hyperlink" Target="https://omni.wikiwand.com/fr/articles/MP_05" TargetMode="External"/><Relationship Id="rId22" Type="http://schemas.openxmlformats.org/officeDocument/2006/relationships/hyperlink" Target="https://www.apur.org/sites/default/files/migrations_residentielles.pdf?token=70JnEg46" TargetMode="External"/><Relationship Id="rId27"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www.insee.fr/fr/statistiques/7630376"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C03D7-9F73-40DD-9DE0-F0DEE8175263}">
  <sheetPr codeName="Sheet4"/>
  <dimension ref="B2:U314"/>
  <sheetViews>
    <sheetView zoomScaleNormal="100" workbookViewId="0">
      <selection activeCell="J22" sqref="J22"/>
    </sheetView>
  </sheetViews>
  <sheetFormatPr defaultRowHeight="14.6" x14ac:dyDescent="0.4"/>
  <cols>
    <col min="1" max="1" width="4.765625" customWidth="1"/>
    <col min="2" max="2" width="34.765625" customWidth="1"/>
    <col min="3" max="3" width="17.3828125" customWidth="1"/>
    <col min="4" max="4" width="16.84375" customWidth="1"/>
    <col min="5" max="5" width="57.69140625" bestFit="1" customWidth="1"/>
    <col min="6" max="6" width="18.23046875" customWidth="1"/>
    <col min="7" max="7" width="28.84375" customWidth="1"/>
    <col min="8" max="8" width="14.23046875" customWidth="1"/>
    <col min="9" max="9" width="10.84375" customWidth="1"/>
    <col min="10" max="10" width="12.07421875" customWidth="1"/>
    <col min="11" max="13" width="10.765625" customWidth="1"/>
    <col min="14" max="14" width="7.84375" customWidth="1"/>
    <col min="15" max="15" width="30.765625" customWidth="1"/>
    <col min="16" max="20" width="10.765625" customWidth="1"/>
    <col min="21" max="21" width="13.23046875" customWidth="1"/>
    <col min="24" max="24" width="11" bestFit="1" customWidth="1"/>
  </cols>
  <sheetData>
    <row r="2" spans="2:19" s="56" customFormat="1" x14ac:dyDescent="0.4">
      <c r="B2" s="56" t="s">
        <v>693</v>
      </c>
    </row>
    <row r="3" spans="2:19" x14ac:dyDescent="0.4">
      <c r="B3" s="196" t="s">
        <v>15</v>
      </c>
      <c r="C3" s="196"/>
      <c r="D3" s="54"/>
    </row>
    <row r="4" spans="2:19" x14ac:dyDescent="0.4">
      <c r="B4" t="s">
        <v>121</v>
      </c>
      <c r="C4" s="2">
        <f>C8-SUM(C5:C7)</f>
        <v>866.44</v>
      </c>
      <c r="D4" s="6">
        <f t="shared" ref="D4:D6" si="0">C4/$C$8</f>
        <v>0.3236608143444154</v>
      </c>
      <c r="F4" s="196" t="s">
        <v>251</v>
      </c>
      <c r="G4" s="196"/>
      <c r="H4" s="196"/>
      <c r="I4" s="196"/>
      <c r="J4" s="196"/>
    </row>
    <row r="5" spans="2:19" x14ac:dyDescent="0.4">
      <c r="B5" t="s">
        <v>1024</v>
      </c>
      <c r="C5" s="2">
        <f>SUM(F6:J6)</f>
        <v>197</v>
      </c>
      <c r="D5" s="6">
        <f t="shared" si="0"/>
        <v>7.3589839372431826E-2</v>
      </c>
      <c r="E5" t="str">
        <f>_xlfn.CONCAT("Includes delivery (",TEXT(G6/SUM(F6:J6),"0.0%"),"), excludes bike/motor and bus parking (",TEXT(SUM(H6:I6)/SUM(F6:J6),"0.0%"),")")</f>
        <v>Includes delivery (9.4%), excludes bike/motor and bus parking (9.5%)</v>
      </c>
      <c r="F5" t="s">
        <v>18</v>
      </c>
      <c r="G5" t="s">
        <v>19</v>
      </c>
      <c r="H5" t="s">
        <v>20</v>
      </c>
      <c r="I5" t="s">
        <v>22</v>
      </c>
      <c r="J5" t="s">
        <v>21</v>
      </c>
      <c r="K5" s="6"/>
    </row>
    <row r="6" spans="2:19" x14ac:dyDescent="0.4">
      <c r="B6" t="s">
        <v>122</v>
      </c>
      <c r="C6" s="2">
        <v>1515</v>
      </c>
      <c r="D6" s="6">
        <f t="shared" si="0"/>
        <v>0.56593201344788946</v>
      </c>
      <c r="E6" t="s">
        <v>688</v>
      </c>
      <c r="F6">
        <v>128.69999999999999</v>
      </c>
      <c r="G6">
        <v>18.5</v>
      </c>
      <c r="H6">
        <v>17.399999999999999</v>
      </c>
      <c r="I6">
        <v>1.3</v>
      </c>
      <c r="J6">
        <f>197-SUM($F6:I6)</f>
        <v>31.099999999999994</v>
      </c>
      <c r="K6" s="6"/>
    </row>
    <row r="7" spans="2:19" x14ac:dyDescent="0.4">
      <c r="B7" t="s">
        <v>1025</v>
      </c>
      <c r="C7" s="2">
        <f>J12</f>
        <v>98.56</v>
      </c>
      <c r="D7" s="6">
        <f>C7/$C$8</f>
        <v>3.6817332835263353E-2</v>
      </c>
      <c r="E7" t="s">
        <v>687</v>
      </c>
      <c r="K7" s="6"/>
    </row>
    <row r="8" spans="2:19" x14ac:dyDescent="0.4">
      <c r="B8" s="3" t="s">
        <v>16</v>
      </c>
      <c r="C8" s="4">
        <v>2677</v>
      </c>
      <c r="D8" s="4"/>
      <c r="E8" t="s">
        <v>24</v>
      </c>
      <c r="F8" s="196" t="s">
        <v>247</v>
      </c>
      <c r="G8" s="196"/>
      <c r="H8" s="196"/>
      <c r="I8" s="196"/>
      <c r="J8" s="196"/>
      <c r="K8" s="6"/>
      <c r="S8" s="8"/>
    </row>
    <row r="9" spans="2:19" x14ac:dyDescent="0.4">
      <c r="B9" t="s">
        <v>16</v>
      </c>
      <c r="C9" s="2">
        <v>2350</v>
      </c>
      <c r="E9" t="s">
        <v>689</v>
      </c>
      <c r="F9" s="5" t="s">
        <v>823</v>
      </c>
      <c r="G9" s="5" t="s">
        <v>824</v>
      </c>
      <c r="H9" s="5" t="s">
        <v>825</v>
      </c>
      <c r="I9" s="5" t="s">
        <v>822</v>
      </c>
      <c r="J9" s="5" t="s">
        <v>23</v>
      </c>
      <c r="K9" s="21"/>
    </row>
    <row r="10" spans="2:19" x14ac:dyDescent="0.4">
      <c r="B10" t="s">
        <v>349</v>
      </c>
      <c r="C10" s="2">
        <f>C124*100-C8</f>
        <v>18423</v>
      </c>
      <c r="F10" s="156">
        <v>161000</v>
      </c>
      <c r="G10" s="156">
        <v>66000</v>
      </c>
      <c r="H10" s="156">
        <v>382000</v>
      </c>
      <c r="I10" s="156">
        <v>474000</v>
      </c>
      <c r="J10" s="157">
        <f>SUM(F10:I10)</f>
        <v>1083000</v>
      </c>
    </row>
    <row r="11" spans="2:19" x14ac:dyDescent="0.4">
      <c r="B11" s="20"/>
      <c r="C11" s="11"/>
      <c r="D11" s="11"/>
      <c r="F11">
        <v>0</v>
      </c>
      <c r="G11">
        <v>2.2000000000000002</v>
      </c>
      <c r="H11">
        <v>2.2000000000000002</v>
      </c>
      <c r="I11">
        <v>0</v>
      </c>
      <c r="J11">
        <f>SUM(F11:I11)</f>
        <v>4.4000000000000004</v>
      </c>
      <c r="L11" s="6"/>
      <c r="M11" s="6"/>
      <c r="N11" s="6"/>
      <c r="O11" s="6"/>
    </row>
    <row r="12" spans="2:19" x14ac:dyDescent="0.4">
      <c r="B12" s="196" t="s">
        <v>595</v>
      </c>
      <c r="C12" s="196"/>
      <c r="D12" s="54"/>
      <c r="E12" s="2">
        <f>C6+C4</f>
        <v>2381.44</v>
      </c>
      <c r="F12" s="2">
        <f>0.0001*F11*F10</f>
        <v>0</v>
      </c>
      <c r="G12" s="2">
        <f>0.0001*G11*G10</f>
        <v>14.520000000000003</v>
      </c>
      <c r="H12" s="2">
        <f>0.0001*H11*H10</f>
        <v>84.04</v>
      </c>
      <c r="I12" s="2">
        <f>0.0001*I11*I10</f>
        <v>0</v>
      </c>
      <c r="J12" s="2">
        <f>SUM(F12:I12)</f>
        <v>98.56</v>
      </c>
    </row>
    <row r="13" spans="2:19" x14ac:dyDescent="0.4">
      <c r="B13" t="s">
        <v>248</v>
      </c>
      <c r="C13">
        <v>460179</v>
      </c>
      <c r="E13" s="7"/>
      <c r="F13" s="6">
        <f>F12/$J$12</f>
        <v>0</v>
      </c>
      <c r="G13" s="6">
        <f>G12/$J$12</f>
        <v>0.1473214285714286</v>
      </c>
      <c r="H13" s="6">
        <f>H12/$J$12</f>
        <v>0.85267857142857151</v>
      </c>
      <c r="I13" s="6">
        <f>I12/$J$12</f>
        <v>0</v>
      </c>
    </row>
    <row r="14" spans="2:19" x14ac:dyDescent="0.4">
      <c r="B14" t="s">
        <v>249</v>
      </c>
      <c r="C14">
        <v>70540</v>
      </c>
      <c r="F14" t="s">
        <v>30</v>
      </c>
      <c r="K14" s="10"/>
      <c r="L14" s="10"/>
      <c r="M14" s="10"/>
      <c r="P14" s="10"/>
    </row>
    <row r="15" spans="2:19" x14ac:dyDescent="0.4">
      <c r="B15" t="s">
        <v>246</v>
      </c>
      <c r="C15" s="12">
        <f>128.7/134112</f>
        <v>9.5964566929133846E-4</v>
      </c>
      <c r="D15" s="12"/>
      <c r="E15">
        <f>0.22*6.14</f>
        <v>1.3508</v>
      </c>
      <c r="F15" s="7"/>
    </row>
    <row r="16" spans="2:19" x14ac:dyDescent="0.4">
      <c r="B16" t="s">
        <v>17</v>
      </c>
      <c r="C16" s="2">
        <f>SUM(C17,C18)</f>
        <v>509.30218996062985</v>
      </c>
      <c r="D16" s="2"/>
      <c r="E16">
        <f>0.8*8</f>
        <v>6.4</v>
      </c>
      <c r="F16" s="196" t="s">
        <v>245</v>
      </c>
      <c r="G16" s="196"/>
      <c r="H16" s="196"/>
      <c r="I16" s="196"/>
      <c r="J16" s="196"/>
    </row>
    <row r="17" spans="2:10" x14ac:dyDescent="0.4">
      <c r="B17" t="s">
        <v>32</v>
      </c>
      <c r="C17" s="2">
        <f>C13*$C$15</f>
        <v>441.60878444881882</v>
      </c>
      <c r="D17" s="2"/>
      <c r="E17">
        <f>C5/SUM(C4:C5)</f>
        <v>0.18524787482133453</v>
      </c>
      <c r="G17" t="s">
        <v>118</v>
      </c>
      <c r="H17" t="s">
        <v>123</v>
      </c>
      <c r="I17" t="s">
        <v>119</v>
      </c>
      <c r="J17" t="s">
        <v>120</v>
      </c>
    </row>
    <row r="18" spans="2:10" x14ac:dyDescent="0.4">
      <c r="B18" t="s">
        <v>33</v>
      </c>
      <c r="C18" s="2">
        <f>C14*$C$15</f>
        <v>67.693405511811008</v>
      </c>
      <c r="D18" s="2"/>
      <c r="F18" t="s">
        <v>121</v>
      </c>
      <c r="G18" s="6">
        <f>C4/$C$8</f>
        <v>0.3236608143444154</v>
      </c>
      <c r="H18" s="6">
        <v>0.34300000000000003</v>
      </c>
      <c r="I18" s="6">
        <v>0.36</v>
      </c>
      <c r="J18" s="6">
        <v>0.41</v>
      </c>
    </row>
    <row r="19" spans="2:10" x14ac:dyDescent="0.4">
      <c r="B19" s="61" t="s">
        <v>250</v>
      </c>
      <c r="C19" s="11"/>
      <c r="D19" s="11"/>
      <c r="E19" s="23"/>
      <c r="F19" t="s">
        <v>125</v>
      </c>
      <c r="G19" s="6">
        <f>C5/$C$8</f>
        <v>7.3589839372431826E-2</v>
      </c>
      <c r="H19" s="6">
        <v>8.7999999999999995E-2</v>
      </c>
      <c r="I19" s="6">
        <v>0.13</v>
      </c>
      <c r="J19" s="6">
        <v>0.1</v>
      </c>
    </row>
    <row r="20" spans="2:10" x14ac:dyDescent="0.4">
      <c r="C20" s="11"/>
      <c r="D20" s="11"/>
      <c r="F20" t="s">
        <v>122</v>
      </c>
      <c r="G20" s="6">
        <f>C6/$C$8</f>
        <v>0.56593201344788946</v>
      </c>
      <c r="H20" s="6">
        <v>0.505</v>
      </c>
      <c r="I20" s="6">
        <v>0.46</v>
      </c>
      <c r="J20" s="6">
        <v>0.4</v>
      </c>
    </row>
    <row r="21" spans="2:10" x14ac:dyDescent="0.4">
      <c r="B21" s="196" t="s">
        <v>25</v>
      </c>
      <c r="C21" s="196"/>
      <c r="D21" s="54"/>
      <c r="F21" t="s">
        <v>124</v>
      </c>
      <c r="G21" s="6">
        <f>C7/$C$8</f>
        <v>3.6817332835263353E-2</v>
      </c>
      <c r="H21" s="6">
        <v>2.5999999999999999E-2</v>
      </c>
      <c r="I21" s="6">
        <v>0.02</v>
      </c>
      <c r="J21" s="6">
        <v>7.0000000000000007E-2</v>
      </c>
    </row>
    <row r="22" spans="2:10" x14ac:dyDescent="0.4">
      <c r="B22" t="s">
        <v>26</v>
      </c>
      <c r="C22" s="7">
        <f>H13</f>
        <v>0.85267857142857151</v>
      </c>
      <c r="D22" s="7"/>
      <c r="H22" s="20" t="s">
        <v>239</v>
      </c>
      <c r="I22" s="20" t="s">
        <v>239</v>
      </c>
      <c r="J22" s="20" t="s">
        <v>239</v>
      </c>
    </row>
    <row r="23" spans="2:10" x14ac:dyDescent="0.4">
      <c r="B23" t="s">
        <v>27</v>
      </c>
      <c r="C23" s="7">
        <f>I13</f>
        <v>0</v>
      </c>
      <c r="D23" s="7"/>
      <c r="H23" s="20"/>
      <c r="I23" s="20"/>
      <c r="J23" s="20"/>
    </row>
    <row r="24" spans="2:10" x14ac:dyDescent="0.4">
      <c r="B24" t="s">
        <v>28</v>
      </c>
      <c r="C24" s="7">
        <f>SUM(F13:G13)</f>
        <v>0.1473214285714286</v>
      </c>
      <c r="D24" s="7"/>
      <c r="H24" s="20"/>
      <c r="I24" s="20"/>
      <c r="J24" s="20"/>
    </row>
    <row r="25" spans="2:10" x14ac:dyDescent="0.4">
      <c r="B25" t="s">
        <v>29</v>
      </c>
      <c r="C25" s="11">
        <f>C16/C5</f>
        <v>2.5852903043686792</v>
      </c>
      <c r="D25" s="11"/>
      <c r="H25" s="20"/>
      <c r="I25" s="20"/>
      <c r="J25" s="20"/>
    </row>
    <row r="26" spans="2:10" x14ac:dyDescent="0.4">
      <c r="C26" s="11"/>
      <c r="D26" s="11"/>
      <c r="H26" s="20"/>
      <c r="I26" s="20"/>
      <c r="J26" s="20"/>
    </row>
    <row r="27" spans="2:10" x14ac:dyDescent="0.4">
      <c r="B27" s="196" t="s">
        <v>306</v>
      </c>
      <c r="C27" s="196"/>
      <c r="D27" s="54"/>
      <c r="H27" s="20"/>
      <c r="I27" s="20"/>
      <c r="J27" s="20"/>
    </row>
    <row r="28" spans="2:10" x14ac:dyDescent="0.4">
      <c r="B28" s="54"/>
      <c r="C28" s="54" t="s">
        <v>233</v>
      </c>
      <c r="D28" s="54" t="s">
        <v>234</v>
      </c>
      <c r="E28" s="158">
        <f>(384+68)</f>
        <v>452</v>
      </c>
      <c r="H28" s="20"/>
      <c r="I28" s="20"/>
      <c r="J28" s="20"/>
    </row>
    <row r="29" spans="2:10" x14ac:dyDescent="0.4">
      <c r="B29" t="s">
        <v>308</v>
      </c>
      <c r="C29" s="63">
        <v>1567</v>
      </c>
      <c r="D29" s="63">
        <f>1800+2000+1700</f>
        <v>5500</v>
      </c>
      <c r="E29" s="6">
        <f>E28/C29</f>
        <v>0.28844926611359284</v>
      </c>
      <c r="H29" s="20"/>
      <c r="I29" s="20"/>
      <c r="J29" s="20"/>
    </row>
    <row r="30" spans="2:10" x14ac:dyDescent="0.4">
      <c r="B30" t="s">
        <v>309</v>
      </c>
      <c r="C30" s="63">
        <v>0</v>
      </c>
      <c r="D30" s="63">
        <f>340+303+333</f>
        <v>976</v>
      </c>
      <c r="E30">
        <f>182/4</f>
        <v>45.5</v>
      </c>
    </row>
    <row r="31" spans="2:10" x14ac:dyDescent="0.4">
      <c r="B31" t="s">
        <v>310</v>
      </c>
      <c r="C31" s="63">
        <v>0</v>
      </c>
      <c r="D31" s="63">
        <f>42+52+61</f>
        <v>155</v>
      </c>
      <c r="E31">
        <f>E30/C29</f>
        <v>2.9036375239310786E-2</v>
      </c>
    </row>
    <row r="32" spans="2:10" x14ac:dyDescent="0.4">
      <c r="B32" s="20" t="s">
        <v>307</v>
      </c>
      <c r="C32" s="11"/>
      <c r="D32" s="11"/>
      <c r="E32">
        <f>(1-E29)/E31</f>
        <v>24.505494505494504</v>
      </c>
    </row>
    <row r="33" spans="2:10" x14ac:dyDescent="0.4">
      <c r="B33" s="20"/>
      <c r="C33" s="11"/>
      <c r="D33" s="11"/>
      <c r="G33" t="s">
        <v>121</v>
      </c>
      <c r="H33" t="s">
        <v>1024</v>
      </c>
      <c r="I33" t="s">
        <v>122</v>
      </c>
      <c r="J33" t="s">
        <v>1025</v>
      </c>
    </row>
    <row r="34" spans="2:10" x14ac:dyDescent="0.4">
      <c r="B34" s="196" t="s">
        <v>596</v>
      </c>
      <c r="C34" s="196"/>
      <c r="D34" s="54"/>
      <c r="G34" s="2">
        <v>866.44</v>
      </c>
      <c r="H34" s="2">
        <v>197</v>
      </c>
      <c r="I34" s="2">
        <v>1515</v>
      </c>
      <c r="J34" s="2">
        <v>98.56</v>
      </c>
    </row>
    <row r="35" spans="2:10" x14ac:dyDescent="0.4">
      <c r="B35" s="54"/>
      <c r="C35" s="54" t="s">
        <v>233</v>
      </c>
      <c r="D35" s="54" t="s">
        <v>234</v>
      </c>
      <c r="G35" s="6">
        <v>0.3236608143444154</v>
      </c>
      <c r="H35" s="6">
        <v>7.3589839372431826E-2</v>
      </c>
      <c r="I35" s="6">
        <v>0.56593201344788946</v>
      </c>
      <c r="J35" s="6">
        <v>3.6817332835263353E-2</v>
      </c>
    </row>
    <row r="36" spans="2:10" x14ac:dyDescent="0.4">
      <c r="B36" s="91" t="s">
        <v>597</v>
      </c>
      <c r="C36" s="41">
        <v>110</v>
      </c>
      <c r="D36" s="41">
        <v>290</v>
      </c>
    </row>
    <row r="37" spans="2:10" x14ac:dyDescent="0.4">
      <c r="B37" s="91" t="s">
        <v>733</v>
      </c>
      <c r="C37" s="41">
        <f>(C36*C70)/1000</f>
        <v>234642.21</v>
      </c>
      <c r="D37" s="41">
        <f>(D36*D70)/1000</f>
        <v>1368605.12</v>
      </c>
    </row>
    <row r="38" spans="2:10" x14ac:dyDescent="0.4">
      <c r="B38" s="91" t="s">
        <v>734</v>
      </c>
      <c r="C38" s="41">
        <v>48972</v>
      </c>
      <c r="D38" s="41">
        <v>43344</v>
      </c>
      <c r="E38" s="10"/>
    </row>
    <row r="39" spans="2:10" x14ac:dyDescent="0.4">
      <c r="B39" s="91" t="s">
        <v>735</v>
      </c>
      <c r="C39" s="134">
        <f>SUM(C37:C38)</f>
        <v>283614.20999999996</v>
      </c>
      <c r="D39" s="134">
        <f>SUM(D37:D38)</f>
        <v>1411949.12</v>
      </c>
      <c r="E39" s="10"/>
      <c r="F39" s="23"/>
    </row>
    <row r="40" spans="2:10" x14ac:dyDescent="0.4">
      <c r="B40" t="s">
        <v>742</v>
      </c>
      <c r="C40" s="23">
        <f>C39/C71</f>
        <v>0.25136730403461532</v>
      </c>
      <c r="D40" s="23">
        <f>D39/D71</f>
        <v>0.7023403001170444</v>
      </c>
      <c r="E40" s="10"/>
      <c r="F40" s="23"/>
    </row>
    <row r="41" spans="2:10" x14ac:dyDescent="0.4">
      <c r="B41" s="91" t="s">
        <v>736</v>
      </c>
      <c r="C41" s="135">
        <v>390000</v>
      </c>
      <c r="D41" s="135"/>
      <c r="E41" s="10"/>
      <c r="F41" s="23"/>
    </row>
    <row r="42" spans="2:10" x14ac:dyDescent="0.4">
      <c r="B42" s="91" t="s">
        <v>739</v>
      </c>
      <c r="C42" s="41">
        <v>32294</v>
      </c>
      <c r="D42" s="41">
        <v>14000</v>
      </c>
      <c r="E42" s="10">
        <f>C46/C7</f>
        <v>608.76623376623377</v>
      </c>
      <c r="F42" s="23"/>
    </row>
    <row r="43" spans="2:10" x14ac:dyDescent="0.4">
      <c r="B43" s="91" t="s">
        <v>726</v>
      </c>
      <c r="C43" s="125">
        <v>1.5</v>
      </c>
      <c r="D43" s="125">
        <v>2</v>
      </c>
      <c r="E43" s="10"/>
      <c r="F43" s="23"/>
    </row>
    <row r="44" spans="2:10" x14ac:dyDescent="0.4">
      <c r="B44" s="91" t="s">
        <v>738</v>
      </c>
      <c r="C44" s="134">
        <f>(C42/C43)/(C42/C43+D42/D43)*C41</f>
        <v>294309.01528251625</v>
      </c>
      <c r="D44" s="134">
        <f>(D42/D43)/(C42/C43+D42/D43)*C41</f>
        <v>95690.984717483763</v>
      </c>
      <c r="F44" s="23"/>
    </row>
    <row r="45" spans="2:10" x14ac:dyDescent="0.4">
      <c r="B45" t="s">
        <v>742</v>
      </c>
      <c r="C45" s="23">
        <f>C44/C71</f>
        <v>0.26084611107690447</v>
      </c>
      <c r="D45" s="23">
        <f>D44/D71</f>
        <v>4.7599190348284685E-2</v>
      </c>
      <c r="E45" s="10"/>
      <c r="F45" s="23"/>
    </row>
    <row r="46" spans="2:10" x14ac:dyDescent="0.4">
      <c r="B46" s="91" t="s">
        <v>740</v>
      </c>
      <c r="C46" s="134">
        <v>60000</v>
      </c>
      <c r="D46" s="134"/>
      <c r="E46" s="10"/>
    </row>
    <row r="47" spans="2:10" x14ac:dyDescent="0.4">
      <c r="B47" s="91" t="s">
        <v>729</v>
      </c>
      <c r="C47" s="41">
        <f>C42/C7</f>
        <v>327.65827922077921</v>
      </c>
      <c r="D47" s="41"/>
      <c r="E47" t="s">
        <v>730</v>
      </c>
    </row>
    <row r="48" spans="2:10" x14ac:dyDescent="0.4">
      <c r="B48" s="91" t="s">
        <v>731</v>
      </c>
      <c r="C48" s="41"/>
      <c r="D48" s="17">
        <f>D42/C42</f>
        <v>0.43351706199293988</v>
      </c>
    </row>
    <row r="49" spans="2:5" x14ac:dyDescent="0.4">
      <c r="B49" s="91"/>
      <c r="C49" s="41"/>
      <c r="D49" s="17"/>
    </row>
    <row r="50" spans="2:5" x14ac:dyDescent="0.4">
      <c r="B50" s="91" t="s">
        <v>737</v>
      </c>
      <c r="C50" s="41"/>
      <c r="D50" s="17"/>
    </row>
    <row r="51" spans="2:5" x14ac:dyDescent="0.4">
      <c r="B51" s="91" t="s">
        <v>728</v>
      </c>
      <c r="C51" s="41"/>
      <c r="D51" s="17"/>
    </row>
    <row r="52" spans="2:5" x14ac:dyDescent="0.4">
      <c r="B52" s="91" t="s">
        <v>727</v>
      </c>
      <c r="C52" s="41"/>
      <c r="D52" s="17"/>
    </row>
    <row r="53" spans="2:5" x14ac:dyDescent="0.4">
      <c r="B53" s="91" t="s">
        <v>741</v>
      </c>
      <c r="C53" s="41"/>
      <c r="D53" s="17"/>
    </row>
    <row r="54" spans="2:5" x14ac:dyDescent="0.4">
      <c r="B54" s="91" t="s">
        <v>61</v>
      </c>
      <c r="C54" s="41"/>
      <c r="D54" s="17"/>
    </row>
    <row r="55" spans="2:5" x14ac:dyDescent="0.4">
      <c r="B55" s="91" t="s">
        <v>732</v>
      </c>
      <c r="C55" s="41"/>
      <c r="D55" s="17"/>
    </row>
    <row r="56" spans="2:5" x14ac:dyDescent="0.4">
      <c r="C56" s="41"/>
      <c r="D56" s="17"/>
    </row>
    <row r="57" spans="2:5" x14ac:dyDescent="0.4">
      <c r="B57" s="1" t="s">
        <v>702</v>
      </c>
      <c r="C57" s="1" t="s">
        <v>600</v>
      </c>
      <c r="D57" s="54" t="s">
        <v>601</v>
      </c>
    </row>
    <row r="58" spans="2:5" x14ac:dyDescent="0.4">
      <c r="B58" s="91" t="s">
        <v>704</v>
      </c>
      <c r="C58" s="129">
        <f>182/4</f>
        <v>45.5</v>
      </c>
      <c r="D58" s="175">
        <v>1.75</v>
      </c>
    </row>
    <row r="59" spans="2:5" x14ac:dyDescent="0.4">
      <c r="B59" s="91" t="s">
        <v>705</v>
      </c>
      <c r="C59" s="130">
        <v>2.2000000000000002</v>
      </c>
      <c r="D59" s="130">
        <f>(C4+C5)/$C$8*C60</f>
        <v>6.7864709636247609</v>
      </c>
    </row>
    <row r="60" spans="2:5" x14ac:dyDescent="0.4">
      <c r="B60" s="91" t="s">
        <v>703</v>
      </c>
      <c r="C60" s="197">
        <f>(C8*10000)/(C29*1000)</f>
        <v>17.083599234205487</v>
      </c>
      <c r="D60" s="197"/>
    </row>
    <row r="61" spans="2:5" x14ac:dyDescent="0.4">
      <c r="B61" s="91" t="s">
        <v>706</v>
      </c>
      <c r="C61" s="131">
        <f>C59/C60*(C58/SUM(C58:D58))</f>
        <v>0.12400890991851023</v>
      </c>
      <c r="D61" s="131">
        <f>D59/C60*(D58/SUM(C58:D58))</f>
        <v>1.4712987174698046E-2</v>
      </c>
    </row>
    <row r="62" spans="2:5" x14ac:dyDescent="0.4">
      <c r="B62" s="91" t="s">
        <v>711</v>
      </c>
      <c r="C62" s="198">
        <f>SUM(C58:D58)/C29</f>
        <v>3.0153158902361199E-2</v>
      </c>
      <c r="D62" s="198"/>
    </row>
    <row r="63" spans="2:5" x14ac:dyDescent="0.4">
      <c r="B63" s="91" t="s">
        <v>708</v>
      </c>
      <c r="C63" s="199" t="str">
        <f>_xlfn.TEXTJOIN(", ",FALSE,TEXT((C4+C5)/$C$8,"0.0%"),TEXT(C6/$C$8,"0.0%"),TEXT(C7/$C$8,"0.0%"))</f>
        <v>39.7%, 56.6%, 3.7%</v>
      </c>
      <c r="D63" s="199"/>
      <c r="E63" t="s">
        <v>709</v>
      </c>
    </row>
    <row r="64" spans="2:5" x14ac:dyDescent="0.4">
      <c r="B64" s="91" t="s">
        <v>707</v>
      </c>
      <c r="C64" s="199" t="str">
        <f>_xlfn.TEXTJOIN(", ",FALSE,TEXT((C4+C5)/$C$8-C61-D61,"0.0%"),TEXT(C6/$C$8+D61,"0.0%"),TEXT(C7/$C$8+C61,"0.0%"))</f>
        <v>25.9%, 58.1%, 16.1%</v>
      </c>
      <c r="D64" s="199"/>
    </row>
    <row r="65" spans="2:21" x14ac:dyDescent="0.4">
      <c r="B65" s="91" t="s">
        <v>710</v>
      </c>
      <c r="C65" s="132">
        <f>C5/(C4+C5)</f>
        <v>0.18524787482133453</v>
      </c>
      <c r="D65" s="132"/>
    </row>
    <row r="67" spans="2:21" s="56" customFormat="1" x14ac:dyDescent="0.4">
      <c r="B67" s="56" t="s">
        <v>523</v>
      </c>
    </row>
    <row r="68" spans="2:21" x14ac:dyDescent="0.4">
      <c r="B68" s="196" t="s">
        <v>216</v>
      </c>
      <c r="C68" s="196"/>
      <c r="D68" s="54"/>
    </row>
    <row r="69" spans="2:21" x14ac:dyDescent="0.4">
      <c r="B69" s="54"/>
      <c r="C69" s="54" t="s">
        <v>233</v>
      </c>
      <c r="D69" s="54" t="s">
        <v>234</v>
      </c>
      <c r="F69" s="54" t="s">
        <v>252</v>
      </c>
      <c r="G69" s="54"/>
      <c r="H69" s="54"/>
      <c r="I69" s="54"/>
    </row>
    <row r="70" spans="2:21" x14ac:dyDescent="0.4">
      <c r="B70" s="20" t="s">
        <v>253</v>
      </c>
      <c r="C70" s="10">
        <v>2133111</v>
      </c>
      <c r="D70" s="10">
        <f>SUM(G71:I71)</f>
        <v>4719328</v>
      </c>
      <c r="G70" t="s">
        <v>115</v>
      </c>
      <c r="H70" t="s">
        <v>116</v>
      </c>
      <c r="I70" t="s">
        <v>117</v>
      </c>
    </row>
    <row r="71" spans="2:21" x14ac:dyDescent="0.4">
      <c r="B71" s="20" t="s">
        <v>254</v>
      </c>
      <c r="C71">
        <v>1128286</v>
      </c>
      <c r="D71">
        <f>SUM(G72:I72)</f>
        <v>2010349</v>
      </c>
      <c r="E71" s="29"/>
      <c r="F71" t="s">
        <v>253</v>
      </c>
      <c r="G71" s="10">
        <v>1635291</v>
      </c>
      <c r="H71" s="41">
        <v>1668670</v>
      </c>
      <c r="I71" s="10">
        <v>1415367</v>
      </c>
    </row>
    <row r="72" spans="2:21" x14ac:dyDescent="0.4">
      <c r="B72" s="52" t="s">
        <v>255</v>
      </c>
      <c r="C72" s="49">
        <v>1.26E-2</v>
      </c>
      <c r="D72" s="49">
        <f>SUMPRODUCT(G75:I75,$G$71:$I$71)/$D$70</f>
        <v>1.5587491714922127E-2</v>
      </c>
      <c r="F72" t="s">
        <v>254</v>
      </c>
      <c r="G72" s="3">
        <v>741813</v>
      </c>
      <c r="H72" s="3">
        <v>655991</v>
      </c>
      <c r="I72" s="3">
        <v>612545</v>
      </c>
    </row>
    <row r="73" spans="2:21" x14ac:dyDescent="0.4">
      <c r="B73" s="52" t="s">
        <v>256</v>
      </c>
      <c r="C73" s="49">
        <v>6.6E-3</v>
      </c>
      <c r="D73" s="49">
        <f>SUMPRODUCT(G76:I76,$G$71:$I$71)/$D$70</f>
        <v>6.4524011045640388E-3</v>
      </c>
      <c r="F73" t="s">
        <v>257</v>
      </c>
      <c r="G73" s="3">
        <v>2.1800000000000002</v>
      </c>
      <c r="H73" s="3">
        <v>2.52</v>
      </c>
      <c r="I73" s="3">
        <v>2.2799999999999998</v>
      </c>
    </row>
    <row r="74" spans="2:21" x14ac:dyDescent="0.4">
      <c r="B74" t="s">
        <v>257</v>
      </c>
      <c r="C74">
        <v>1.85</v>
      </c>
      <c r="D74" s="17">
        <f>SUMPRODUCT(G73:I73,G72:I72)/D71</f>
        <v>2.321413973394669</v>
      </c>
      <c r="F74" t="s">
        <v>260</v>
      </c>
      <c r="G74">
        <v>29720</v>
      </c>
      <c r="H74">
        <v>19020</v>
      </c>
      <c r="I74">
        <v>24270</v>
      </c>
    </row>
    <row r="75" spans="2:21" x14ac:dyDescent="0.4">
      <c r="B75" s="28" t="s">
        <v>298</v>
      </c>
      <c r="C75" s="10">
        <v>29730</v>
      </c>
      <c r="D75" s="10">
        <f>SUMPRODUCT(G74:I74,G72:I72)/D71</f>
        <v>24567.922450281021</v>
      </c>
      <c r="F75" t="s">
        <v>255</v>
      </c>
      <c r="G75" s="3">
        <v>1.4200000000000001E-2</v>
      </c>
      <c r="H75" s="3">
        <v>1.77E-2</v>
      </c>
      <c r="I75" s="3">
        <v>1.47E-2</v>
      </c>
    </row>
    <row r="76" spans="2:21" x14ac:dyDescent="0.4">
      <c r="B76" s="196" t="s">
        <v>879</v>
      </c>
      <c r="C76" s="196"/>
      <c r="D76" s="54"/>
      <c r="E76" s="29"/>
      <c r="F76" t="s">
        <v>256</v>
      </c>
      <c r="G76" s="3">
        <v>6.4000000000000003E-3</v>
      </c>
      <c r="H76" s="3">
        <v>5.7000000000000002E-3</v>
      </c>
      <c r="I76" s="3">
        <v>7.4000000000000003E-3</v>
      </c>
    </row>
    <row r="77" spans="2:21" x14ac:dyDescent="0.4">
      <c r="B77" s="28" t="s">
        <v>296</v>
      </c>
      <c r="C77">
        <v>51823</v>
      </c>
      <c r="D77">
        <f>SUM(G78:I78)</f>
        <v>85730</v>
      </c>
      <c r="F77" t="s">
        <v>202</v>
      </c>
      <c r="G77" s="33">
        <v>178</v>
      </c>
      <c r="H77" s="33">
        <v>234</v>
      </c>
      <c r="I77" s="3">
        <v>242</v>
      </c>
    </row>
    <row r="78" spans="2:21" x14ac:dyDescent="0.4">
      <c r="B78" s="28" t="s">
        <v>297</v>
      </c>
      <c r="C78">
        <v>72308</v>
      </c>
      <c r="D78">
        <f>SUM(G79:I79)</f>
        <v>110567</v>
      </c>
      <c r="F78" t="s">
        <v>881</v>
      </c>
      <c r="G78" s="3">
        <v>38321</v>
      </c>
      <c r="H78" s="3">
        <v>20801</v>
      </c>
      <c r="I78" s="3">
        <v>26608</v>
      </c>
    </row>
    <row r="79" spans="2:21" x14ac:dyDescent="0.4">
      <c r="B79" s="28" t="s">
        <v>299</v>
      </c>
      <c r="C79" s="49">
        <f>C77/$C$70</f>
        <v>2.4294563199008398E-2</v>
      </c>
      <c r="D79" s="49">
        <f>D77/$D$70</f>
        <v>1.8165721899389066E-2</v>
      </c>
      <c r="F79" t="s">
        <v>882</v>
      </c>
      <c r="G79" s="3">
        <v>45278</v>
      </c>
      <c r="H79" s="3">
        <v>31365</v>
      </c>
      <c r="I79" s="3">
        <v>33924</v>
      </c>
    </row>
    <row r="80" spans="2:21" ht="12.65" customHeight="1" x14ac:dyDescent="0.4">
      <c r="B80" s="28" t="s">
        <v>300</v>
      </c>
      <c r="C80" s="49">
        <f>C78/$C$70</f>
        <v>3.3897907797578279E-2</v>
      </c>
      <c r="D80" s="49">
        <f>D78/$D$70</f>
        <v>2.342854745421382E-2</v>
      </c>
      <c r="E80" s="10"/>
      <c r="F80" t="s">
        <v>883</v>
      </c>
      <c r="G80" s="3">
        <v>37280</v>
      </c>
      <c r="H80" s="3">
        <v>23247</v>
      </c>
      <c r="I80" s="3">
        <v>27642</v>
      </c>
      <c r="Q80" s="55"/>
      <c r="U80" s="22"/>
    </row>
    <row r="81" spans="2:10" x14ac:dyDescent="0.4">
      <c r="B81" s="28" t="s">
        <v>301</v>
      </c>
      <c r="C81" s="49">
        <f>C79-C80</f>
        <v>-9.6033445985698809E-3</v>
      </c>
      <c r="D81" s="49">
        <f>D79-D80</f>
        <v>-5.2628255548247543E-3</v>
      </c>
      <c r="F81" t="s">
        <v>884</v>
      </c>
      <c r="G81" s="3">
        <v>40885</v>
      </c>
      <c r="H81" s="3">
        <v>29042</v>
      </c>
      <c r="I81" s="3">
        <v>31970</v>
      </c>
    </row>
    <row r="82" spans="2:10" x14ac:dyDescent="0.4">
      <c r="B82" s="196" t="s">
        <v>880</v>
      </c>
      <c r="C82" s="196"/>
      <c r="D82" s="54"/>
      <c r="F82" t="s">
        <v>479</v>
      </c>
      <c r="G82">
        <f>0.174+0.189</f>
        <v>0.36299999999999999</v>
      </c>
      <c r="H82">
        <f>0.214+0.201</f>
        <v>0.41500000000000004</v>
      </c>
      <c r="I82">
        <f>0.182+0.195</f>
        <v>0.377</v>
      </c>
    </row>
    <row r="83" spans="2:10" x14ac:dyDescent="0.4">
      <c r="B83" s="28" t="s">
        <v>296</v>
      </c>
      <c r="C83" s="10">
        <v>55259</v>
      </c>
      <c r="D83" s="10">
        <f>SUM(G80:I80)</f>
        <v>88169</v>
      </c>
      <c r="F83" t="s">
        <v>481</v>
      </c>
      <c r="G83">
        <f>0.633</f>
        <v>0.63300000000000001</v>
      </c>
      <c r="H83" s="3">
        <v>0.60799999999999998</v>
      </c>
      <c r="I83" s="3">
        <v>0.66500000000000004</v>
      </c>
    </row>
    <row r="84" spans="2:10" x14ac:dyDescent="0.4">
      <c r="B84" s="28" t="s">
        <v>297</v>
      </c>
      <c r="C84" s="10">
        <v>63013</v>
      </c>
      <c r="D84" s="10">
        <f>SUM(G81:I81)</f>
        <v>101897</v>
      </c>
      <c r="F84" t="s">
        <v>482</v>
      </c>
      <c r="G84" s="23">
        <f>(2*14.1+49.2)/63.3</f>
        <v>1.222748815165877</v>
      </c>
      <c r="H84" s="23">
        <f>(2*14.8+46)/60.8</f>
        <v>1.243421052631579</v>
      </c>
      <c r="I84" s="23">
        <f>(2*17.2+49.4)/66.5</f>
        <v>1.2601503759398496</v>
      </c>
      <c r="J84" s="55"/>
    </row>
    <row r="85" spans="2:10" x14ac:dyDescent="0.4">
      <c r="B85" s="28" t="s">
        <v>299</v>
      </c>
      <c r="C85" s="49">
        <f>C83/$C$70</f>
        <v>2.5905356073828319E-2</v>
      </c>
      <c r="D85" s="49">
        <f>D83/$D$70</f>
        <v>1.8682532767377049E-2</v>
      </c>
      <c r="F85" t="s">
        <v>525</v>
      </c>
      <c r="G85" s="29">
        <v>783266</v>
      </c>
      <c r="H85" s="29">
        <v>652707</v>
      </c>
      <c r="I85" s="29">
        <v>619016</v>
      </c>
    </row>
    <row r="86" spans="2:10" x14ac:dyDescent="0.4">
      <c r="B86" s="28" t="s">
        <v>300</v>
      </c>
      <c r="C86" s="49">
        <f>C84/$C$70</f>
        <v>2.9540422415898656E-2</v>
      </c>
      <c r="D86" s="49">
        <f>D84/$D$70</f>
        <v>2.1591421490517293E-2</v>
      </c>
      <c r="F86" t="s">
        <v>526</v>
      </c>
      <c r="G86" s="29">
        <v>824372</v>
      </c>
      <c r="H86" s="29">
        <v>705282</v>
      </c>
      <c r="I86" s="29">
        <v>662168</v>
      </c>
    </row>
    <row r="87" spans="2:10" x14ac:dyDescent="0.4">
      <c r="B87" s="28" t="s">
        <v>301</v>
      </c>
      <c r="C87" s="49">
        <f>C85-C86</f>
        <v>-3.6350663420703366E-3</v>
      </c>
      <c r="D87" s="49">
        <f>D85-D86</f>
        <v>-2.908888723140244E-3</v>
      </c>
      <c r="F87" s="57" t="s">
        <v>258</v>
      </c>
      <c r="G87" s="58" t="s">
        <v>115</v>
      </c>
      <c r="H87" s="58" t="s">
        <v>116</v>
      </c>
      <c r="I87" s="58" t="s">
        <v>117</v>
      </c>
    </row>
    <row r="88" spans="2:10" x14ac:dyDescent="0.4">
      <c r="B88" s="20" t="s">
        <v>294</v>
      </c>
      <c r="C88" s="23"/>
      <c r="D88" s="23"/>
      <c r="F88" s="57" t="s">
        <v>259</v>
      </c>
      <c r="G88" s="58" t="s">
        <v>115</v>
      </c>
      <c r="H88" s="58" t="s">
        <v>116</v>
      </c>
      <c r="I88" s="58" t="s">
        <v>117</v>
      </c>
    </row>
    <row r="89" spans="2:10" x14ac:dyDescent="0.4">
      <c r="C89" s="23"/>
      <c r="D89" s="23"/>
      <c r="F89" s="57" t="s">
        <v>295</v>
      </c>
      <c r="G89" s="62" t="s">
        <v>294</v>
      </c>
    </row>
    <row r="90" spans="2:10" x14ac:dyDescent="0.4">
      <c r="C90" s="23"/>
      <c r="D90" s="23"/>
      <c r="F90" s="57"/>
      <c r="G90" s="62"/>
    </row>
    <row r="91" spans="2:10" x14ac:dyDescent="0.4">
      <c r="C91" s="23"/>
      <c r="D91" s="23"/>
      <c r="F91" s="54" t="s">
        <v>527</v>
      </c>
      <c r="G91" s="54"/>
      <c r="H91" s="54"/>
      <c r="I91" s="54"/>
    </row>
    <row r="92" spans="2:10" x14ac:dyDescent="0.4">
      <c r="C92" s="23"/>
      <c r="D92" s="23"/>
      <c r="F92" s="29" t="s">
        <v>217</v>
      </c>
      <c r="G92" t="s">
        <v>218</v>
      </c>
    </row>
    <row r="93" spans="2:10" x14ac:dyDescent="0.4">
      <c r="B93" s="54" t="s">
        <v>528</v>
      </c>
      <c r="C93" s="54"/>
      <c r="D93" s="54"/>
      <c r="E93" s="16"/>
      <c r="F93" t="s">
        <v>224</v>
      </c>
      <c r="G93">
        <v>6</v>
      </c>
    </row>
    <row r="94" spans="2:10" x14ac:dyDescent="0.4">
      <c r="B94" s="54"/>
      <c r="C94" s="54" t="s">
        <v>233</v>
      </c>
      <c r="D94" s="54" t="s">
        <v>234</v>
      </c>
      <c r="G94" t="s">
        <v>219</v>
      </c>
      <c r="H94" t="s">
        <v>220</v>
      </c>
    </row>
    <row r="95" spans="2:10" x14ac:dyDescent="0.4">
      <c r="B95" t="s">
        <v>478</v>
      </c>
      <c r="C95" s="23">
        <f>0.123+0.245</f>
        <v>0.36799999999999999</v>
      </c>
      <c r="D95" s="23">
        <f>SUMPRODUCT(G82:I82,G71:I71)/SUM(G71:I71)</f>
        <v>0.38558499049017159</v>
      </c>
      <c r="F95" t="s">
        <v>221</v>
      </c>
      <c r="G95">
        <f>C113</f>
        <v>1366438</v>
      </c>
      <c r="H95">
        <f>D113</f>
        <v>2054989</v>
      </c>
    </row>
    <row r="96" spans="2:10" x14ac:dyDescent="0.4">
      <c r="B96" t="s">
        <v>477</v>
      </c>
      <c r="C96" s="23">
        <f>1-C95</f>
        <v>0.63200000000000001</v>
      </c>
      <c r="D96" s="23">
        <f>1-D95</f>
        <v>0.61441500950982841</v>
      </c>
      <c r="F96" t="s">
        <v>222</v>
      </c>
      <c r="G96" s="10">
        <f>C114</f>
        <v>1396753</v>
      </c>
      <c r="H96" s="10">
        <f>D114</f>
        <v>2191822</v>
      </c>
    </row>
    <row r="97" spans="2:8" x14ac:dyDescent="0.4">
      <c r="B97" t="s">
        <v>550</v>
      </c>
      <c r="C97" s="23">
        <f>2/3</f>
        <v>0.66666666666666663</v>
      </c>
      <c r="D97" s="23">
        <f>2/3</f>
        <v>0.66666666666666663</v>
      </c>
      <c r="F97" t="s">
        <v>223</v>
      </c>
      <c r="G97" s="49">
        <f>(G96/G95)^(1/$G$93)-1</f>
        <v>3.6638460727507205E-3</v>
      </c>
      <c r="H97" s="49">
        <f>(H96/H95)^(1/$G$93)-1</f>
        <v>1.0801699338462534E-2</v>
      </c>
    </row>
    <row r="98" spans="2:8" x14ac:dyDescent="0.4">
      <c r="B98" t="s">
        <v>777</v>
      </c>
      <c r="C98" s="23">
        <f>C97*C95</f>
        <v>0.24533333333333332</v>
      </c>
      <c r="D98" s="23">
        <f>D97*D95</f>
        <v>0.25705666032678104</v>
      </c>
    </row>
    <row r="99" spans="2:8" x14ac:dyDescent="0.4">
      <c r="B99" t="s">
        <v>480</v>
      </c>
      <c r="C99" s="23">
        <f>0.325</f>
        <v>0.32500000000000001</v>
      </c>
      <c r="D99" s="23">
        <f>SUMPRODUCT(G83:I83,G72:I72)/SUM(G72:I72)</f>
        <v>0.63459259163458681</v>
      </c>
    </row>
    <row r="100" spans="2:8" x14ac:dyDescent="0.4">
      <c r="B100" t="s">
        <v>482</v>
      </c>
      <c r="C100" s="23">
        <f>(2*3.9+28.6)/32.5</f>
        <v>1.1199999999999999</v>
      </c>
      <c r="D100" s="23">
        <f>SUMPRODUCT(G84:I84,G72:I72)/SUM(G72:I72)</f>
        <v>1.2408904118596136</v>
      </c>
    </row>
    <row r="101" spans="2:8" x14ac:dyDescent="0.4">
      <c r="B101" t="s">
        <v>336</v>
      </c>
      <c r="C101" s="10">
        <f>C99*C71*C100</f>
        <v>410696.10399999999</v>
      </c>
      <c r="D101" s="10">
        <f>D99*D71*D100</f>
        <v>1583069.1469089454</v>
      </c>
    </row>
    <row r="102" spans="2:8" x14ac:dyDescent="0.4">
      <c r="B102" t="s">
        <v>779</v>
      </c>
      <c r="C102" s="23">
        <f>C99*(1-C98)</f>
        <v>0.24526666666666669</v>
      </c>
      <c r="D102" s="23">
        <f>D99*(1-D98)</f>
        <v>0.47146633936088317</v>
      </c>
      <c r="G102" s="10"/>
      <c r="H102" s="10"/>
    </row>
    <row r="103" spans="2:8" x14ac:dyDescent="0.4">
      <c r="B103" t="s">
        <v>782</v>
      </c>
      <c r="C103" s="10">
        <f>C98*C70</f>
        <v>523323.23199999996</v>
      </c>
      <c r="D103" s="10">
        <f>D98*D70</f>
        <v>1213134.6946666669</v>
      </c>
      <c r="E103">
        <f>1531800+77989+523323</f>
        <v>2133112</v>
      </c>
    </row>
    <row r="104" spans="2:8" x14ac:dyDescent="0.4">
      <c r="B104" t="s">
        <v>781</v>
      </c>
      <c r="C104" s="10">
        <f>C102*C70</f>
        <v>523181.02460000006</v>
      </c>
      <c r="D104" s="10">
        <f>D102*D70</f>
        <v>2225004.2964033182</v>
      </c>
      <c r="E104" s="10">
        <f>SUM(C103:C105)</f>
        <v>2133111</v>
      </c>
    </row>
    <row r="105" spans="2:8" x14ac:dyDescent="0.4">
      <c r="B105" t="s">
        <v>780</v>
      </c>
      <c r="C105" s="10">
        <f>C70-C103-C104</f>
        <v>1086606.7434</v>
      </c>
      <c r="D105" s="10">
        <f>D70-D103-D104</f>
        <v>1281189.0089300149</v>
      </c>
    </row>
    <row r="106" spans="2:8" x14ac:dyDescent="0.4">
      <c r="B106" t="s">
        <v>783</v>
      </c>
      <c r="C106" s="23">
        <f>C101/C104</f>
        <v>0.78499808802125259</v>
      </c>
      <c r="D106" s="23">
        <f>D101/D104</f>
        <v>0.71149037755475342</v>
      </c>
    </row>
    <row r="107" spans="2:8" x14ac:dyDescent="0.4">
      <c r="C107" s="1" t="s">
        <v>337</v>
      </c>
      <c r="D107" s="23"/>
      <c r="E107" s="75"/>
    </row>
    <row r="108" spans="2:8" x14ac:dyDescent="0.4">
      <c r="B108" t="s">
        <v>558</v>
      </c>
      <c r="C108" s="9">
        <f>(C155+C156)/SUM(C101:D101)</f>
        <v>5.7429027789405067</v>
      </c>
      <c r="D108" s="23"/>
      <c r="F108" s="10"/>
    </row>
    <row r="109" spans="2:8" x14ac:dyDescent="0.4">
      <c r="B109" t="s">
        <v>778</v>
      </c>
      <c r="C109" s="23"/>
      <c r="D109" s="23"/>
      <c r="F109" s="10"/>
    </row>
    <row r="110" spans="2:8" x14ac:dyDescent="0.4">
      <c r="C110" s="23"/>
      <c r="D110" s="23"/>
    </row>
    <row r="111" spans="2:8" x14ac:dyDescent="0.4">
      <c r="B111" s="196" t="s">
        <v>524</v>
      </c>
      <c r="C111" s="196"/>
      <c r="D111" s="54"/>
    </row>
    <row r="112" spans="2:8" x14ac:dyDescent="0.4">
      <c r="B112" s="54"/>
      <c r="C112" s="54" t="s">
        <v>233</v>
      </c>
      <c r="D112" s="54" t="s">
        <v>234</v>
      </c>
    </row>
    <row r="113" spans="2:5" x14ac:dyDescent="0.4">
      <c r="B113" t="s">
        <v>525</v>
      </c>
      <c r="C113">
        <v>1366438</v>
      </c>
      <c r="D113">
        <f>SUM(G85:I85)</f>
        <v>2054989</v>
      </c>
    </row>
    <row r="114" spans="2:5" x14ac:dyDescent="0.4">
      <c r="B114" t="s">
        <v>526</v>
      </c>
      <c r="C114">
        <v>1396753</v>
      </c>
      <c r="D114">
        <f>SUM(G86:I86)</f>
        <v>2191822</v>
      </c>
    </row>
    <row r="115" spans="2:5" x14ac:dyDescent="0.4">
      <c r="B115" t="s">
        <v>538</v>
      </c>
      <c r="C115" s="49">
        <f>G97</f>
        <v>3.6638460727507205E-3</v>
      </c>
      <c r="D115" s="49">
        <f>H97</f>
        <v>1.0801699338462534E-2</v>
      </c>
    </row>
    <row r="116" spans="2:5" x14ac:dyDescent="0.4">
      <c r="B116" t="s">
        <v>539</v>
      </c>
      <c r="C116" s="16">
        <f>1/100+C115</f>
        <v>1.3663846072750721E-2</v>
      </c>
      <c r="D116" s="16">
        <f>1/100+D115</f>
        <v>2.0801699338462536E-2</v>
      </c>
    </row>
    <row r="117" spans="2:5" x14ac:dyDescent="0.4">
      <c r="B117" t="s">
        <v>534</v>
      </c>
      <c r="C117" s="23">
        <f>C114/C71</f>
        <v>1.2379423302247834</v>
      </c>
      <c r="D117" s="23">
        <f>D114/D71</f>
        <v>1.0902694009846052</v>
      </c>
    </row>
    <row r="118" spans="2:5" x14ac:dyDescent="0.4">
      <c r="C118" s="1" t="s">
        <v>337</v>
      </c>
    </row>
    <row r="119" spans="2:5" x14ac:dyDescent="0.4">
      <c r="B119" t="s">
        <v>529</v>
      </c>
      <c r="C119" s="23">
        <f>70000 /42000</f>
        <v>1.6666666666666667</v>
      </c>
    </row>
    <row r="120" spans="2:5" x14ac:dyDescent="0.4">
      <c r="B120" t="s">
        <v>530</v>
      </c>
    </row>
    <row r="122" spans="2:5" x14ac:dyDescent="0.4">
      <c r="C122" s="23"/>
      <c r="D122" s="10"/>
    </row>
    <row r="123" spans="2:5" x14ac:dyDescent="0.4">
      <c r="B123" s="196" t="s">
        <v>202</v>
      </c>
      <c r="C123" s="196"/>
      <c r="D123" s="54"/>
    </row>
    <row r="124" spans="2:5" x14ac:dyDescent="0.4">
      <c r="B124" s="20" t="s">
        <v>203</v>
      </c>
      <c r="C124">
        <v>211</v>
      </c>
      <c r="E124" t="s">
        <v>209</v>
      </c>
    </row>
    <row r="125" spans="2:5" x14ac:dyDescent="0.4">
      <c r="B125" t="s">
        <v>205</v>
      </c>
      <c r="C125" s="6">
        <f>0.01*C6/C124</f>
        <v>7.1800947867298584E-2</v>
      </c>
      <c r="D125" s="6"/>
    </row>
    <row r="126" spans="2:5" x14ac:dyDescent="0.4">
      <c r="B126" t="s">
        <v>207</v>
      </c>
      <c r="C126" s="10">
        <f>C70/C124</f>
        <v>10109.530805687204</v>
      </c>
      <c r="D126" s="10"/>
      <c r="E126" t="s">
        <v>238</v>
      </c>
    </row>
    <row r="127" spans="2:5" x14ac:dyDescent="0.4">
      <c r="B127" t="s">
        <v>208</v>
      </c>
      <c r="C127" s="23">
        <f>C6*10000/C70</f>
        <v>7.1023026931087978</v>
      </c>
      <c r="D127" s="23"/>
      <c r="E127" t="s">
        <v>210</v>
      </c>
    </row>
    <row r="128" spans="2:5" x14ac:dyDescent="0.4">
      <c r="B128" t="s">
        <v>204</v>
      </c>
      <c r="C128" s="10">
        <f>SUM(G77:I77)</f>
        <v>654</v>
      </c>
      <c r="D128" s="10"/>
      <c r="E128" t="s">
        <v>209</v>
      </c>
    </row>
    <row r="129" spans="2:5" x14ac:dyDescent="0.4">
      <c r="B129" t="s">
        <v>206</v>
      </c>
      <c r="C129" s="50">
        <f>D70/C128</f>
        <v>7216.0978593272175</v>
      </c>
    </row>
    <row r="130" spans="2:5" x14ac:dyDescent="0.4">
      <c r="B130" t="s">
        <v>211</v>
      </c>
      <c r="C130" s="23">
        <f>C125*C128*1000000/D70</f>
        <v>9.9501072833278954</v>
      </c>
      <c r="D130" s="23"/>
      <c r="E130" t="s">
        <v>210</v>
      </c>
    </row>
    <row r="131" spans="2:5" x14ac:dyDescent="0.4">
      <c r="C131" s="23"/>
      <c r="D131" s="23"/>
    </row>
    <row r="132" spans="2:5" s="56" customFormat="1" x14ac:dyDescent="0.4">
      <c r="B132" s="56" t="s">
        <v>695</v>
      </c>
      <c r="C132" s="59"/>
      <c r="D132" s="59"/>
    </row>
    <row r="133" spans="2:5" x14ac:dyDescent="0.4">
      <c r="C133" s="23"/>
      <c r="D133" s="23"/>
    </row>
    <row r="134" spans="2:5" x14ac:dyDescent="0.4">
      <c r="B134" s="1" t="s">
        <v>723</v>
      </c>
      <c r="C134" s="1" t="s">
        <v>233</v>
      </c>
      <c r="D134" s="54" t="s">
        <v>234</v>
      </c>
    </row>
    <row r="135" spans="2:5" x14ac:dyDescent="0.4">
      <c r="B135" t="s">
        <v>722</v>
      </c>
      <c r="C135">
        <v>48972</v>
      </c>
      <c r="D135">
        <v>43344</v>
      </c>
      <c r="E135" t="s">
        <v>725</v>
      </c>
    </row>
    <row r="136" spans="2:5" x14ac:dyDescent="0.4">
      <c r="B136" t="s">
        <v>772</v>
      </c>
      <c r="C136" s="199">
        <v>0.03</v>
      </c>
      <c r="D136" s="199"/>
    </row>
    <row r="137" spans="2:5" x14ac:dyDescent="0.4">
      <c r="B137" t="s">
        <v>724</v>
      </c>
      <c r="C137" s="33"/>
      <c r="D137" s="33"/>
    </row>
    <row r="138" spans="2:5" x14ac:dyDescent="0.4">
      <c r="B138" s="154" t="s">
        <v>61</v>
      </c>
      <c r="C138" s="33"/>
      <c r="D138" s="33"/>
    </row>
    <row r="139" spans="2:5" x14ac:dyDescent="0.4">
      <c r="B139" s="154"/>
      <c r="C139" s="33"/>
      <c r="D139" s="33"/>
    </row>
    <row r="140" spans="2:5" s="56" customFormat="1" x14ac:dyDescent="0.4">
      <c r="B140" s="56" t="s">
        <v>927</v>
      </c>
      <c r="C140" s="59"/>
      <c r="D140" s="59"/>
    </row>
    <row r="141" spans="2:5" x14ac:dyDescent="0.4">
      <c r="B141" s="154"/>
      <c r="C141" s="33"/>
      <c r="D141" s="33"/>
    </row>
    <row r="142" spans="2:5" x14ac:dyDescent="0.4">
      <c r="B142" s="1" t="s">
        <v>326</v>
      </c>
      <c r="C142" s="1" t="s">
        <v>928</v>
      </c>
      <c r="D142" s="1" t="s">
        <v>933</v>
      </c>
    </row>
    <row r="143" spans="2:5" x14ac:dyDescent="0.4">
      <c r="B143" t="s">
        <v>929</v>
      </c>
      <c r="C143" s="169">
        <v>7290000</v>
      </c>
      <c r="D143" s="169">
        <v>11070000</v>
      </c>
    </row>
    <row r="144" spans="2:5" x14ac:dyDescent="0.4">
      <c r="B144" t="s">
        <v>931</v>
      </c>
      <c r="C144" s="169">
        <v>830000</v>
      </c>
      <c r="D144" s="169">
        <v>2100000</v>
      </c>
      <c r="E144" s="171"/>
    </row>
    <row r="145" spans="2:13" x14ac:dyDescent="0.4">
      <c r="B145" t="s">
        <v>930</v>
      </c>
      <c r="C145" s="170">
        <f>C143/C$70</f>
        <v>3.4175436721295798</v>
      </c>
      <c r="D145" s="170">
        <f>D143/D$70</f>
        <v>2.3456729432664991</v>
      </c>
      <c r="E145" s="171"/>
    </row>
    <row r="146" spans="2:13" x14ac:dyDescent="0.4">
      <c r="B146" s="168" t="s">
        <v>932</v>
      </c>
      <c r="C146" s="170">
        <f>C144/C$70</f>
        <v>0.38910305183368327</v>
      </c>
      <c r="D146" s="170">
        <f>D144/D$70</f>
        <v>0.44497860712372611</v>
      </c>
      <c r="E146" s="171"/>
    </row>
    <row r="147" spans="2:13" x14ac:dyDescent="0.4">
      <c r="B147" s="168"/>
      <c r="C147" s="1" t="s">
        <v>233</v>
      </c>
      <c r="D147" s="170"/>
      <c r="E147" s="171"/>
    </row>
    <row r="148" spans="2:13" x14ac:dyDescent="0.4">
      <c r="B148" t="s">
        <v>934</v>
      </c>
      <c r="C148" s="172">
        <f>C185/SUM(C182:C185)</f>
        <v>0.6481042654028436</v>
      </c>
      <c r="D148" s="33"/>
    </row>
    <row r="149" spans="2:13" x14ac:dyDescent="0.4">
      <c r="B149" t="s">
        <v>935</v>
      </c>
      <c r="C149" s="173">
        <f>C148*C145</f>
        <v>2.214924631107678</v>
      </c>
      <c r="D149" s="33"/>
    </row>
    <row r="150" spans="2:13" x14ac:dyDescent="0.4">
      <c r="B150" t="s">
        <v>936</v>
      </c>
      <c r="C150" s="173">
        <f>(1-C148)*C145</f>
        <v>1.202619041021902</v>
      </c>
      <c r="D150" s="33"/>
    </row>
    <row r="151" spans="2:13" x14ac:dyDescent="0.4">
      <c r="B151" s="154"/>
      <c r="C151" s="33"/>
      <c r="D151" s="33"/>
    </row>
    <row r="152" spans="2:13" s="56" customFormat="1" x14ac:dyDescent="0.4">
      <c r="B152" s="56" t="s">
        <v>694</v>
      </c>
      <c r="C152" s="59"/>
      <c r="D152" s="59"/>
    </row>
    <row r="154" spans="2:13" x14ac:dyDescent="0.4">
      <c r="B154" s="1" t="s">
        <v>326</v>
      </c>
      <c r="C154" s="1" t="s">
        <v>762</v>
      </c>
      <c r="D154" s="54"/>
      <c r="F154" s="196" t="s">
        <v>264</v>
      </c>
      <c r="G154" s="196"/>
      <c r="H154" s="196"/>
      <c r="I154" s="196"/>
      <c r="K154" s="196" t="s">
        <v>69</v>
      </c>
      <c r="L154" s="196"/>
      <c r="M154" s="196"/>
    </row>
    <row r="155" spans="2:13" x14ac:dyDescent="0.4">
      <c r="B155" t="s">
        <v>755</v>
      </c>
      <c r="C155">
        <v>8450000</v>
      </c>
      <c r="D155" s="33"/>
      <c r="E155" t="s">
        <v>327</v>
      </c>
      <c r="F155" t="s">
        <v>265</v>
      </c>
      <c r="G155" t="s">
        <v>275</v>
      </c>
      <c r="H155" t="s">
        <v>266</v>
      </c>
      <c r="I155" t="s">
        <v>276</v>
      </c>
      <c r="K155">
        <v>4</v>
      </c>
      <c r="L155">
        <v>20</v>
      </c>
      <c r="M155" s="13">
        <f t="shared" ref="M155:M174" si="1">L155/SUM($L$155:$L$174)</f>
        <v>1.4445648248465151E-3</v>
      </c>
    </row>
    <row r="156" spans="2:13" x14ac:dyDescent="0.4">
      <c r="B156" t="s">
        <v>756</v>
      </c>
      <c r="C156">
        <f>3000000</f>
        <v>3000000</v>
      </c>
      <c r="D156" s="33"/>
      <c r="E156" t="s">
        <v>327</v>
      </c>
      <c r="F156" t="s">
        <v>267</v>
      </c>
      <c r="G156">
        <v>30</v>
      </c>
      <c r="H156" s="3">
        <f>$H$158</f>
        <v>698</v>
      </c>
      <c r="I156" s="33">
        <f>$I$161/$H$161*H156</f>
        <v>155.65156794425087</v>
      </c>
      <c r="K156">
        <v>5</v>
      </c>
      <c r="L156">
        <v>100</v>
      </c>
      <c r="M156" s="13">
        <f t="shared" si="1"/>
        <v>7.2228241242325748E-3</v>
      </c>
    </row>
    <row r="157" spans="2:13" x14ac:dyDescent="0.4">
      <c r="B157" t="s">
        <v>757</v>
      </c>
      <c r="C157">
        <v>11650000</v>
      </c>
      <c r="D157" s="3"/>
      <c r="E157" t="s">
        <v>327</v>
      </c>
      <c r="F157" t="s">
        <v>268</v>
      </c>
      <c r="G157">
        <v>73</v>
      </c>
      <c r="H157" s="3">
        <f>$H$158</f>
        <v>698</v>
      </c>
      <c r="I157" s="33">
        <f>$I$161/$H$161*H157</f>
        <v>155.65156794425087</v>
      </c>
      <c r="K157">
        <v>6</v>
      </c>
      <c r="L157">
        <v>250</v>
      </c>
      <c r="M157" s="13">
        <f t="shared" si="1"/>
        <v>1.8057060310581439E-2</v>
      </c>
    </row>
    <row r="158" spans="2:13" x14ac:dyDescent="0.4">
      <c r="B158" t="s">
        <v>758</v>
      </c>
      <c r="E158" t="s">
        <v>201</v>
      </c>
      <c r="F158" t="s">
        <v>269</v>
      </c>
      <c r="G158">
        <v>67</v>
      </c>
      <c r="H158" s="8">
        <v>698</v>
      </c>
      <c r="I158" s="33">
        <f>$I$161/$H$161*H158</f>
        <v>155.65156794425087</v>
      </c>
      <c r="K158" s="8">
        <v>7</v>
      </c>
      <c r="L158" s="8">
        <v>790</v>
      </c>
      <c r="M158" s="14">
        <f t="shared" si="1"/>
        <v>5.7060310581437339E-2</v>
      </c>
    </row>
    <row r="159" spans="2:13" x14ac:dyDescent="0.4">
      <c r="C159" s="1" t="s">
        <v>233</v>
      </c>
      <c r="D159" s="1" t="s">
        <v>234</v>
      </c>
      <c r="E159" t="s">
        <v>331</v>
      </c>
      <c r="F159" t="s">
        <v>270</v>
      </c>
      <c r="G159">
        <v>87</v>
      </c>
      <c r="H159" s="3">
        <f>$H$158</f>
        <v>698</v>
      </c>
      <c r="I159" s="33">
        <f>$I$161/$H$161*H159</f>
        <v>155.65156794425087</v>
      </c>
      <c r="K159" s="8">
        <v>8</v>
      </c>
      <c r="L159" s="8">
        <v>1300</v>
      </c>
      <c r="M159" s="14">
        <f t="shared" si="1"/>
        <v>9.3896713615023469E-2</v>
      </c>
    </row>
    <row r="160" spans="2:13" x14ac:dyDescent="0.4">
      <c r="B160" t="s">
        <v>332</v>
      </c>
      <c r="C160" s="16">
        <f>C155/C70</f>
        <v>3.9613503469814746</v>
      </c>
      <c r="D160" s="16">
        <f>C157/D70</f>
        <v>2.4685717966625758</v>
      </c>
      <c r="E160" t="s">
        <v>331</v>
      </c>
      <c r="F160" t="s">
        <v>271</v>
      </c>
      <c r="G160">
        <v>133</v>
      </c>
      <c r="H160">
        <v>425</v>
      </c>
      <c r="I160" s="33">
        <f>$I$161/$H$161*H160</f>
        <v>94.773519163763069</v>
      </c>
      <c r="K160">
        <v>9</v>
      </c>
      <c r="L160">
        <v>600</v>
      </c>
      <c r="M160" s="71">
        <f t="shared" si="1"/>
        <v>4.3336944745395449E-2</v>
      </c>
    </row>
    <row r="161" spans="2:15" x14ac:dyDescent="0.4">
      <c r="B161" t="s">
        <v>515</v>
      </c>
      <c r="D161" s="16">
        <f>C156/D70</f>
        <v>0.63568372446246579</v>
      </c>
      <c r="F161" t="s">
        <v>272</v>
      </c>
      <c r="G161">
        <v>195</v>
      </c>
      <c r="H161">
        <v>574</v>
      </c>
      <c r="I161" s="60">
        <v>128</v>
      </c>
      <c r="J161" s="6"/>
      <c r="K161">
        <v>10</v>
      </c>
      <c r="L161">
        <v>640</v>
      </c>
      <c r="M161" s="13">
        <f t="shared" si="1"/>
        <v>4.6226074395088482E-2</v>
      </c>
    </row>
    <row r="162" spans="2:15" x14ac:dyDescent="0.4">
      <c r="C162" s="54" t="s">
        <v>762</v>
      </c>
      <c r="D162" s="3"/>
      <c r="F162" t="s">
        <v>273</v>
      </c>
      <c r="G162">
        <v>8</v>
      </c>
      <c r="H162">
        <v>425</v>
      </c>
      <c r="I162" s="33">
        <f>$I$161/$H$161*H162</f>
        <v>94.773519163763069</v>
      </c>
      <c r="K162">
        <v>11</v>
      </c>
      <c r="L162">
        <v>780</v>
      </c>
      <c r="M162" s="13">
        <f t="shared" si="1"/>
        <v>5.6338028169014086E-2</v>
      </c>
    </row>
    <row r="163" spans="2:15" x14ac:dyDescent="0.4">
      <c r="B163" t="s">
        <v>330</v>
      </c>
      <c r="C163" s="10">
        <f>C70+D70</f>
        <v>6852439</v>
      </c>
      <c r="D163" s="3"/>
      <c r="F163" t="s">
        <v>274</v>
      </c>
      <c r="G163">
        <v>172</v>
      </c>
      <c r="H163">
        <v>581</v>
      </c>
      <c r="I163" s="33">
        <f>$I$161/$H$161*H163</f>
        <v>129.5609756097561</v>
      </c>
      <c r="K163">
        <v>12</v>
      </c>
      <c r="L163">
        <v>810</v>
      </c>
      <c r="M163" s="13">
        <f t="shared" si="1"/>
        <v>5.8504875406283859E-2</v>
      </c>
    </row>
    <row r="164" spans="2:15" x14ac:dyDescent="0.4">
      <c r="B164" t="s">
        <v>332</v>
      </c>
      <c r="C164" s="16">
        <f>C155/$C$163</f>
        <v>1.2331375733516197</v>
      </c>
      <c r="D164" s="3"/>
      <c r="F164" s="20" t="s">
        <v>278</v>
      </c>
      <c r="K164">
        <v>13</v>
      </c>
      <c r="L164">
        <v>815</v>
      </c>
      <c r="M164" s="13">
        <f t="shared" si="1"/>
        <v>5.8866016612495485E-2</v>
      </c>
    </row>
    <row r="165" spans="2:15" x14ac:dyDescent="0.4">
      <c r="B165" t="s">
        <v>516</v>
      </c>
      <c r="C165" s="16">
        <f>C164+D161</f>
        <v>1.8688212978140855</v>
      </c>
      <c r="D165" s="3"/>
      <c r="K165">
        <v>14</v>
      </c>
      <c r="L165">
        <v>700</v>
      </c>
      <c r="M165" s="13">
        <f t="shared" si="1"/>
        <v>5.0559768869628027E-2</v>
      </c>
    </row>
    <row r="166" spans="2:15" x14ac:dyDescent="0.4">
      <c r="B166" t="s">
        <v>517</v>
      </c>
      <c r="C166" s="16">
        <v>0.8</v>
      </c>
      <c r="D166" s="3"/>
      <c r="F166" t="s">
        <v>284</v>
      </c>
      <c r="G166">
        <v>2</v>
      </c>
      <c r="H166" t="s">
        <v>281</v>
      </c>
      <c r="K166">
        <v>15</v>
      </c>
      <c r="L166">
        <v>800</v>
      </c>
      <c r="M166" s="13">
        <f t="shared" si="1"/>
        <v>5.7782592993860599E-2</v>
      </c>
    </row>
    <row r="167" spans="2:15" x14ac:dyDescent="0.4">
      <c r="B167" t="s">
        <v>518</v>
      </c>
      <c r="C167" s="16">
        <f>C165-C166*C165</f>
        <v>0.373764259562817</v>
      </c>
      <c r="F167" t="s">
        <v>280</v>
      </c>
      <c r="G167" s="6">
        <f>0.23/0.82</f>
        <v>0.28048780487804881</v>
      </c>
      <c r="H167" t="s">
        <v>290</v>
      </c>
      <c r="K167" s="8">
        <v>16</v>
      </c>
      <c r="L167" s="8">
        <v>1350</v>
      </c>
      <c r="M167" s="14">
        <f t="shared" si="1"/>
        <v>9.7508125677139762E-2</v>
      </c>
    </row>
    <row r="168" spans="2:15" x14ac:dyDescent="0.4">
      <c r="B168" t="s">
        <v>519</v>
      </c>
      <c r="C168" s="16">
        <f>(C165-C169)/C165</f>
        <v>0.51969554798416573</v>
      </c>
      <c r="F168" t="s">
        <v>282</v>
      </c>
      <c r="G168">
        <v>1400000</v>
      </c>
      <c r="H168" s="20" t="s">
        <v>283</v>
      </c>
      <c r="K168" s="8">
        <v>17</v>
      </c>
      <c r="L168" s="8">
        <v>1340</v>
      </c>
      <c r="M168" s="14">
        <f t="shared" si="1"/>
        <v>9.6785843264716509E-2</v>
      </c>
    </row>
    <row r="169" spans="2:15" x14ac:dyDescent="0.4">
      <c r="B169" t="s">
        <v>520</v>
      </c>
      <c r="C169" s="16">
        <f>D161+(D161-C167)</f>
        <v>0.89760318936211458</v>
      </c>
      <c r="F169" t="s">
        <v>263</v>
      </c>
      <c r="G169">
        <v>17</v>
      </c>
      <c r="K169" s="8">
        <v>18</v>
      </c>
      <c r="L169" s="8">
        <v>1280</v>
      </c>
      <c r="M169" s="14">
        <f t="shared" si="1"/>
        <v>9.2452148790176963E-2</v>
      </c>
      <c r="N169" s="72">
        <f>SUM(M158:M159,M167:M169)</f>
        <v>0.43770314192849402</v>
      </c>
    </row>
    <row r="170" spans="2:15" x14ac:dyDescent="0.4">
      <c r="F170" t="s">
        <v>289</v>
      </c>
      <c r="K170">
        <v>19</v>
      </c>
      <c r="L170">
        <v>1000</v>
      </c>
      <c r="M170" s="13">
        <f t="shared" si="1"/>
        <v>7.2228241242325755E-2</v>
      </c>
    </row>
    <row r="171" spans="2:15" x14ac:dyDescent="0.4">
      <c r="B171" s="54" t="s">
        <v>261</v>
      </c>
      <c r="C171" s="54"/>
      <c r="D171" s="54"/>
      <c r="K171">
        <v>20</v>
      </c>
      <c r="L171">
        <v>580</v>
      </c>
      <c r="M171" s="13">
        <f t="shared" si="1"/>
        <v>4.1892379920548936E-2</v>
      </c>
    </row>
    <row r="172" spans="2:15" x14ac:dyDescent="0.4">
      <c r="B172" t="s">
        <v>712</v>
      </c>
      <c r="C172">
        <v>1.74</v>
      </c>
      <c r="E172" t="s">
        <v>82</v>
      </c>
      <c r="K172">
        <v>21</v>
      </c>
      <c r="L172">
        <v>310</v>
      </c>
      <c r="M172" s="13">
        <f t="shared" si="1"/>
        <v>2.2390754785120981E-2</v>
      </c>
    </row>
    <row r="173" spans="2:15" x14ac:dyDescent="0.4">
      <c r="B173" t="s">
        <v>713</v>
      </c>
      <c r="C173">
        <v>8.17</v>
      </c>
      <c r="E173" t="s">
        <v>82</v>
      </c>
      <c r="K173">
        <v>22</v>
      </c>
      <c r="L173">
        <v>200</v>
      </c>
      <c r="M173" s="13">
        <f t="shared" si="1"/>
        <v>1.444564824846515E-2</v>
      </c>
    </row>
    <row r="174" spans="2:15" x14ac:dyDescent="0.4">
      <c r="B174" t="s">
        <v>714</v>
      </c>
      <c r="C174">
        <v>8.8000000000000007</v>
      </c>
      <c r="E174" t="s">
        <v>81</v>
      </c>
      <c r="K174">
        <v>23</v>
      </c>
      <c r="L174">
        <v>180</v>
      </c>
      <c r="M174" s="13">
        <f t="shared" si="1"/>
        <v>1.3001083423618635E-2</v>
      </c>
    </row>
    <row r="175" spans="2:15" x14ac:dyDescent="0.4">
      <c r="B175" t="s">
        <v>334</v>
      </c>
      <c r="C175">
        <v>5</v>
      </c>
      <c r="E175" t="s">
        <v>262</v>
      </c>
      <c r="K175" s="61" t="s">
        <v>61</v>
      </c>
    </row>
    <row r="176" spans="2:15" x14ac:dyDescent="0.4">
      <c r="B176" t="s">
        <v>333</v>
      </c>
      <c r="C176">
        <v>8</v>
      </c>
      <c r="E176" t="s">
        <v>262</v>
      </c>
      <c r="O176" s="92"/>
    </row>
    <row r="177" spans="2:16" x14ac:dyDescent="0.4">
      <c r="B177" s="61" t="s">
        <v>72</v>
      </c>
      <c r="C177" s="3"/>
      <c r="D177" s="3"/>
    </row>
    <row r="179" spans="2:16" x14ac:dyDescent="0.4">
      <c r="B179" s="54" t="s">
        <v>716</v>
      </c>
      <c r="C179" s="54"/>
      <c r="D179" s="54"/>
    </row>
    <row r="180" spans="2:16" x14ac:dyDescent="0.4">
      <c r="B180" s="133" t="s">
        <v>715</v>
      </c>
      <c r="C180" s="133"/>
      <c r="D180" s="133"/>
    </row>
    <row r="181" spans="2:16" x14ac:dyDescent="0.4">
      <c r="B181" s="133"/>
      <c r="C181" s="133" t="s">
        <v>605</v>
      </c>
      <c r="D181" s="133" t="s">
        <v>603</v>
      </c>
      <c r="E181" s="10"/>
    </row>
    <row r="182" spans="2:16" x14ac:dyDescent="0.4">
      <c r="B182" s="91" t="s">
        <v>160</v>
      </c>
      <c r="C182" s="41">
        <v>2230</v>
      </c>
      <c r="D182" s="50">
        <f>2050</f>
        <v>2050</v>
      </c>
      <c r="E182" s="10"/>
    </row>
    <row r="183" spans="2:16" x14ac:dyDescent="0.4">
      <c r="B183" s="91" t="s">
        <v>599</v>
      </c>
      <c r="C183" s="41">
        <f>310+140</f>
        <v>450</v>
      </c>
      <c r="D183" s="50">
        <f>(590+80)</f>
        <v>670</v>
      </c>
      <c r="O183" s="95"/>
    </row>
    <row r="184" spans="2:16" x14ac:dyDescent="0.4">
      <c r="B184" t="s">
        <v>602</v>
      </c>
      <c r="C184" s="41">
        <f>210+80</f>
        <v>290</v>
      </c>
      <c r="D184" s="50">
        <f>(100+50)</f>
        <v>150</v>
      </c>
      <c r="P184" s="6"/>
    </row>
    <row r="185" spans="2:16" x14ac:dyDescent="0.4">
      <c r="B185" t="s">
        <v>601</v>
      </c>
      <c r="C185" s="41">
        <f>5470</f>
        <v>5470</v>
      </c>
      <c r="D185" s="50">
        <f>140</f>
        <v>140</v>
      </c>
      <c r="P185" s="7"/>
    </row>
    <row r="186" spans="2:16" x14ac:dyDescent="0.4">
      <c r="B186" s="133" t="s">
        <v>177</v>
      </c>
      <c r="C186" s="133" t="s">
        <v>717</v>
      </c>
      <c r="D186" s="133" t="s">
        <v>604</v>
      </c>
      <c r="P186" s="6"/>
    </row>
    <row r="187" spans="2:16" x14ac:dyDescent="0.4">
      <c r="B187" t="s">
        <v>598</v>
      </c>
      <c r="C187" s="41">
        <f>C183</f>
        <v>450</v>
      </c>
      <c r="D187" s="93">
        <f>D183</f>
        <v>670</v>
      </c>
      <c r="E187" s="92"/>
      <c r="F187" s="96">
        <v>0.9</v>
      </c>
      <c r="G187" s="97">
        <v>0.8</v>
      </c>
    </row>
    <row r="188" spans="2:16" x14ac:dyDescent="0.4">
      <c r="B188" t="s">
        <v>160</v>
      </c>
      <c r="C188" s="41">
        <f>C182</f>
        <v>2230</v>
      </c>
      <c r="D188" s="93">
        <f>D182</f>
        <v>2050</v>
      </c>
      <c r="F188" s="96">
        <v>0.2</v>
      </c>
      <c r="G188" s="97">
        <v>0.2</v>
      </c>
    </row>
    <row r="189" spans="2:16" x14ac:dyDescent="0.4">
      <c r="B189" t="s">
        <v>600</v>
      </c>
      <c r="C189" s="41">
        <f>C184+D184</f>
        <v>440</v>
      </c>
      <c r="D189" s="93">
        <v>0</v>
      </c>
    </row>
    <row r="190" spans="2:16" x14ac:dyDescent="0.4">
      <c r="B190" t="s">
        <v>601</v>
      </c>
      <c r="C190" s="41">
        <f>C185+D185</f>
        <v>5610</v>
      </c>
      <c r="D190" s="93">
        <v>0</v>
      </c>
    </row>
    <row r="191" spans="2:16" x14ac:dyDescent="0.4">
      <c r="B191" s="3" t="s">
        <v>814</v>
      </c>
    </row>
    <row r="192" spans="2:16" x14ac:dyDescent="0.4">
      <c r="B192" s="133" t="s">
        <v>718</v>
      </c>
      <c r="C192" s="133" t="s">
        <v>334</v>
      </c>
      <c r="D192" s="133" t="s">
        <v>333</v>
      </c>
      <c r="E192" s="10"/>
    </row>
    <row r="193" spans="2:8" x14ac:dyDescent="0.4">
      <c r="B193" t="s">
        <v>598</v>
      </c>
      <c r="C193" s="6">
        <f>C187/SUM($C$187:$C$189)</f>
        <v>0.14423076923076922</v>
      </c>
      <c r="D193" s="6">
        <f>D187/SUM($D$187:$D$188)</f>
        <v>0.24632352941176472</v>
      </c>
      <c r="E193" s="29"/>
    </row>
    <row r="194" spans="2:8" x14ac:dyDescent="0.4">
      <c r="B194" t="s">
        <v>160</v>
      </c>
      <c r="C194" s="6">
        <f>C188/SUM($C$187:$C$189)</f>
        <v>0.71474358974358976</v>
      </c>
      <c r="D194" s="6">
        <f>D188/SUM($D$187:$D$188)</f>
        <v>0.75367647058823528</v>
      </c>
    </row>
    <row r="195" spans="2:8" x14ac:dyDescent="0.4">
      <c r="B195" t="s">
        <v>600</v>
      </c>
      <c r="C195" s="6">
        <f>C189/SUM($C$187:$C$189)</f>
        <v>0.14102564102564102</v>
      </c>
      <c r="D195" s="6">
        <v>0</v>
      </c>
      <c r="F195" s="6">
        <v>0.1394968964390722</v>
      </c>
      <c r="G195" s="6">
        <v>0.24937027707808565</v>
      </c>
    </row>
    <row r="196" spans="2:8" x14ac:dyDescent="0.4">
      <c r="B196" t="s">
        <v>815</v>
      </c>
      <c r="C196" s="6">
        <f>C185/SUM(C182:C185)</f>
        <v>0.6481042654028436</v>
      </c>
      <c r="F196" s="6">
        <v>0.71675922901012745</v>
      </c>
      <c r="G196" s="6">
        <v>0.75062972292191432</v>
      </c>
    </row>
    <row r="197" spans="2:8" x14ac:dyDescent="0.4">
      <c r="F197" s="6">
        <v>0.1437438745508004</v>
      </c>
      <c r="G197" s="6">
        <v>0</v>
      </c>
    </row>
    <row r="199" spans="2:8" x14ac:dyDescent="0.4">
      <c r="B199" s="54" t="s">
        <v>398</v>
      </c>
      <c r="C199" s="54"/>
      <c r="D199" s="54"/>
      <c r="F199" s="196" t="s">
        <v>870</v>
      </c>
      <c r="G199" s="196"/>
      <c r="H199" s="54"/>
    </row>
    <row r="200" spans="2:8" x14ac:dyDescent="0.4">
      <c r="B200" t="s">
        <v>381</v>
      </c>
      <c r="C200" s="9">
        <v>0.4</v>
      </c>
      <c r="D200" s="10"/>
      <c r="E200" t="s">
        <v>53</v>
      </c>
      <c r="G200" t="s">
        <v>874</v>
      </c>
      <c r="H200" t="s">
        <v>875</v>
      </c>
    </row>
    <row r="201" spans="2:8" x14ac:dyDescent="0.4">
      <c r="B201" t="s">
        <v>91</v>
      </c>
      <c r="C201" s="10">
        <v>4</v>
      </c>
      <c r="E201" s="10" t="s">
        <v>399</v>
      </c>
      <c r="F201" t="s">
        <v>871</v>
      </c>
      <c r="G201">
        <f>8450</f>
        <v>8450</v>
      </c>
      <c r="H201">
        <f>310+140</f>
        <v>450</v>
      </c>
    </row>
    <row r="202" spans="2:8" x14ac:dyDescent="0.4">
      <c r="C202" s="10"/>
      <c r="D202" s="10"/>
      <c r="F202" t="s">
        <v>872</v>
      </c>
      <c r="G202">
        <f>3000</f>
        <v>3000</v>
      </c>
      <c r="H202">
        <f>590+80</f>
        <v>670</v>
      </c>
    </row>
    <row r="203" spans="2:8" x14ac:dyDescent="0.4">
      <c r="B203" s="54" t="s">
        <v>104</v>
      </c>
      <c r="C203" s="54"/>
      <c r="D203" s="54"/>
      <c r="F203" t="s">
        <v>873</v>
      </c>
      <c r="G203">
        <f>1190</f>
        <v>1190</v>
      </c>
      <c r="H203">
        <f>240+30</f>
        <v>270</v>
      </c>
    </row>
    <row r="204" spans="2:8" x14ac:dyDescent="0.4">
      <c r="B204" t="s">
        <v>394</v>
      </c>
      <c r="C204" s="9">
        <v>1.2</v>
      </c>
      <c r="D204" s="10"/>
      <c r="E204" t="s">
        <v>395</v>
      </c>
      <c r="F204" t="s">
        <v>166</v>
      </c>
      <c r="G204">
        <f>SUM(G201:G203)</f>
        <v>12640</v>
      </c>
      <c r="H204">
        <f>SUM(H201:H203)</f>
        <v>1390</v>
      </c>
    </row>
    <row r="205" spans="2:8" x14ac:dyDescent="0.4">
      <c r="B205" t="s">
        <v>103</v>
      </c>
      <c r="C205">
        <v>18</v>
      </c>
      <c r="E205" t="s">
        <v>106</v>
      </c>
    </row>
    <row r="206" spans="2:8" x14ac:dyDescent="0.4">
      <c r="B206" t="s">
        <v>113</v>
      </c>
      <c r="C206">
        <v>30</v>
      </c>
      <c r="E206" t="s">
        <v>95</v>
      </c>
      <c r="F206" s="196" t="s">
        <v>876</v>
      </c>
      <c r="G206" s="196"/>
      <c r="H206" s="54"/>
    </row>
    <row r="207" spans="2:8" x14ac:dyDescent="0.4">
      <c r="B207" t="s">
        <v>105</v>
      </c>
      <c r="G207" t="s">
        <v>877</v>
      </c>
      <c r="H207" t="s">
        <v>878</v>
      </c>
    </row>
    <row r="208" spans="2:8" x14ac:dyDescent="0.4">
      <c r="B208" t="s">
        <v>112</v>
      </c>
      <c r="F208" t="s">
        <v>871</v>
      </c>
      <c r="G208" s="6">
        <f>G201/$G$204</f>
        <v>0.66851265822784811</v>
      </c>
      <c r="H208" s="6">
        <f>H201/$H$204</f>
        <v>0.32374100719424459</v>
      </c>
    </row>
    <row r="209" spans="2:11" x14ac:dyDescent="0.4">
      <c r="F209" t="s">
        <v>872</v>
      </c>
      <c r="G209" s="6">
        <f t="shared" ref="G209:G211" si="2">G202/$G$204</f>
        <v>0.23734177215189872</v>
      </c>
      <c r="H209" s="6">
        <f t="shared" ref="H209:H211" si="3">H202/$H$204</f>
        <v>0.48201438848920863</v>
      </c>
      <c r="J209" s="7">
        <f>G208+G209</f>
        <v>0.90585443037974689</v>
      </c>
      <c r="K209" s="7">
        <f>H208+H209</f>
        <v>0.80575539568345322</v>
      </c>
    </row>
    <row r="210" spans="2:11" x14ac:dyDescent="0.4">
      <c r="B210" s="54" t="s">
        <v>288</v>
      </c>
      <c r="C210" s="54"/>
      <c r="D210" s="54"/>
      <c r="F210" t="s">
        <v>873</v>
      </c>
      <c r="G210" s="6">
        <f t="shared" si="2"/>
        <v>9.4145569620253167E-2</v>
      </c>
      <c r="H210" s="6">
        <f t="shared" si="3"/>
        <v>0.19424460431654678</v>
      </c>
      <c r="J210" s="7">
        <f>J209+G210</f>
        <v>1</v>
      </c>
    </row>
    <row r="211" spans="2:11" x14ac:dyDescent="0.4">
      <c r="B211" t="s">
        <v>285</v>
      </c>
      <c r="C211">
        <f>ROUND(SUMPRODUCT(estimates!I156:I163,estimates!G156:G163)/SUM(estimates!G156:G163),0)</f>
        <v>132</v>
      </c>
      <c r="F211" t="s">
        <v>166</v>
      </c>
      <c r="G211">
        <f t="shared" si="2"/>
        <v>1</v>
      </c>
      <c r="H211">
        <f t="shared" si="3"/>
        <v>1</v>
      </c>
    </row>
    <row r="212" spans="2:11" x14ac:dyDescent="0.4">
      <c r="B212" t="s">
        <v>286</v>
      </c>
      <c r="C212">
        <f>ROUND(SUMPRODUCT(estimates!H156:H163,estimates!G156:G163)/SUM(estimates!G156:G163),0)</f>
        <v>590</v>
      </c>
      <c r="E212" s="3" t="s">
        <v>719</v>
      </c>
    </row>
    <row r="213" spans="2:11" x14ac:dyDescent="0.4">
      <c r="B213" t="s">
        <v>889</v>
      </c>
      <c r="C213" s="23">
        <f>C211/C212</f>
        <v>0.22372881355932203</v>
      </c>
      <c r="D213" s="23"/>
      <c r="E213" t="s">
        <v>53</v>
      </c>
    </row>
    <row r="214" spans="2:11" x14ac:dyDescent="0.4">
      <c r="B214" t="s">
        <v>769</v>
      </c>
      <c r="C214">
        <v>0.01</v>
      </c>
      <c r="E214" t="s">
        <v>53</v>
      </c>
      <c r="F214" s="54" t="s">
        <v>888</v>
      </c>
      <c r="G214" s="54"/>
      <c r="H214" s="54"/>
      <c r="I214" s="54"/>
    </row>
    <row r="215" spans="2:11" x14ac:dyDescent="0.4">
      <c r="B215" t="s">
        <v>887</v>
      </c>
      <c r="C215" s="49">
        <f>G217</f>
        <v>9.9552829497362438E-4</v>
      </c>
      <c r="F215" s="29" t="s">
        <v>217</v>
      </c>
      <c r="G215" t="s">
        <v>218</v>
      </c>
    </row>
    <row r="216" spans="2:11" x14ac:dyDescent="0.4">
      <c r="F216" t="s">
        <v>224</v>
      </c>
      <c r="G216">
        <v>10</v>
      </c>
    </row>
    <row r="217" spans="2:11" x14ac:dyDescent="0.4">
      <c r="B217" s="54" t="s">
        <v>767</v>
      </c>
      <c r="C217" s="54"/>
      <c r="D217" s="54"/>
      <c r="F217" t="s">
        <v>223</v>
      </c>
      <c r="G217" s="49">
        <f>(1+C214)^(1/$G$216)-1</f>
        <v>9.9552829497362438E-4</v>
      </c>
    </row>
    <row r="218" spans="2:11" x14ac:dyDescent="0.4">
      <c r="B218" t="s">
        <v>720</v>
      </c>
      <c r="C218">
        <v>40</v>
      </c>
    </row>
    <row r="219" spans="2:11" x14ac:dyDescent="0.4">
      <c r="B219" t="s">
        <v>721</v>
      </c>
      <c r="C219">
        <v>50</v>
      </c>
      <c r="G219" s="23"/>
      <c r="H219" s="10"/>
    </row>
    <row r="220" spans="2:11" x14ac:dyDescent="0.4">
      <c r="B220" t="s">
        <v>318</v>
      </c>
      <c r="G220" s="49"/>
      <c r="H220" s="49"/>
    </row>
    <row r="221" spans="2:11" x14ac:dyDescent="0.4">
      <c r="B221" t="s">
        <v>317</v>
      </c>
    </row>
    <row r="223" spans="2:11" x14ac:dyDescent="0.4">
      <c r="B223" s="54" t="s">
        <v>773</v>
      </c>
      <c r="C223" s="54"/>
      <c r="D223" s="54"/>
    </row>
    <row r="224" spans="2:11" x14ac:dyDescent="0.4">
      <c r="B224" t="s">
        <v>774</v>
      </c>
      <c r="C224">
        <v>25</v>
      </c>
      <c r="D224" t="s">
        <v>106</v>
      </c>
    </row>
    <row r="225" spans="2:17" x14ac:dyDescent="0.4">
      <c r="B225" t="s">
        <v>775</v>
      </c>
      <c r="C225">
        <v>18</v>
      </c>
      <c r="D225" t="s">
        <v>106</v>
      </c>
    </row>
    <row r="226" spans="2:17" x14ac:dyDescent="0.4">
      <c r="B226" t="s">
        <v>776</v>
      </c>
    </row>
    <row r="228" spans="2:17" s="56" customFormat="1" x14ac:dyDescent="0.4">
      <c r="B228" s="56" t="s">
        <v>696</v>
      </c>
      <c r="C228" s="59"/>
      <c r="D228" s="59"/>
    </row>
    <row r="229" spans="2:17" x14ac:dyDescent="0.4">
      <c r="B229" s="1" t="s">
        <v>335</v>
      </c>
      <c r="C229" s="1" t="s">
        <v>233</v>
      </c>
      <c r="D229" s="54" t="s">
        <v>234</v>
      </c>
    </row>
    <row r="230" spans="2:17" x14ac:dyDescent="0.4">
      <c r="B230" t="s">
        <v>341</v>
      </c>
      <c r="C230">
        <v>0.39</v>
      </c>
      <c r="D230">
        <v>0.81</v>
      </c>
    </row>
    <row r="231" spans="2:17" x14ac:dyDescent="0.4">
      <c r="B231" t="s">
        <v>336</v>
      </c>
      <c r="C231" s="10">
        <f>C230*C71</f>
        <v>440031.54000000004</v>
      </c>
      <c r="D231" s="10">
        <f>D230*D71</f>
        <v>1628382.6900000002</v>
      </c>
      <c r="E231" s="10"/>
      <c r="Q231" s="29"/>
    </row>
    <row r="232" spans="2:17" x14ac:dyDescent="0.4">
      <c r="B232" t="s">
        <v>254</v>
      </c>
      <c r="C232">
        <f>C71</f>
        <v>1128286</v>
      </c>
      <c r="D232">
        <f>D71</f>
        <v>2010349</v>
      </c>
      <c r="E232" s="10"/>
      <c r="Q232" s="29"/>
    </row>
    <row r="233" spans="2:17" x14ac:dyDescent="0.4">
      <c r="B233" t="s">
        <v>338</v>
      </c>
      <c r="C233" s="16">
        <v>0.20072620215897941</v>
      </c>
      <c r="D233" s="10"/>
      <c r="E233" s="10"/>
      <c r="Q233" s="29"/>
    </row>
    <row r="234" spans="2:17" x14ac:dyDescent="0.4">
      <c r="B234" t="s">
        <v>339</v>
      </c>
      <c r="C234" s="16">
        <v>0.1813837095191364</v>
      </c>
      <c r="D234" s="10"/>
      <c r="E234" s="10"/>
      <c r="Q234" s="29"/>
    </row>
    <row r="235" spans="2:17" x14ac:dyDescent="0.4">
      <c r="B235" t="s">
        <v>340</v>
      </c>
      <c r="C235" s="16">
        <v>0.61789008832188419</v>
      </c>
      <c r="D235" s="10"/>
      <c r="E235" s="41"/>
      <c r="Q235" s="29"/>
    </row>
    <row r="236" spans="2:17" x14ac:dyDescent="0.4">
      <c r="C236" s="1" t="s">
        <v>337</v>
      </c>
      <c r="E236" s="29"/>
      <c r="Q236" s="41"/>
    </row>
    <row r="237" spans="2:17" x14ac:dyDescent="0.4">
      <c r="B237" t="s">
        <v>341</v>
      </c>
      <c r="C237" s="16">
        <f>(C231+D231)/(C71+D71)</f>
        <v>0.65901713005813045</v>
      </c>
      <c r="E237" s="10"/>
      <c r="Q237" s="41"/>
    </row>
    <row r="238" spans="2:17" x14ac:dyDescent="0.4">
      <c r="B238" t="s">
        <v>341</v>
      </c>
      <c r="C238" s="23">
        <f>SUM(C231:D231)/SUM(C232:D232)</f>
        <v>0.65901713005813045</v>
      </c>
      <c r="E238" s="41"/>
      <c r="Q238" s="41"/>
    </row>
    <row r="239" spans="2:17" x14ac:dyDescent="0.4">
      <c r="B239" t="s">
        <v>346</v>
      </c>
      <c r="C239">
        <f>0.3*C233</f>
        <v>6.021786064769382E-2</v>
      </c>
      <c r="Q239" s="41"/>
    </row>
    <row r="240" spans="2:17" x14ac:dyDescent="0.4">
      <c r="B240" t="s">
        <v>342</v>
      </c>
      <c r="C240">
        <v>0.6</v>
      </c>
      <c r="Q240" s="29"/>
    </row>
    <row r="241" spans="2:17" x14ac:dyDescent="0.4">
      <c r="C241" s="3" t="s">
        <v>348</v>
      </c>
      <c r="D241" s="3" t="s">
        <v>344</v>
      </c>
      <c r="E241" s="3" t="s">
        <v>345</v>
      </c>
      <c r="Q241" s="29"/>
    </row>
    <row r="242" spans="2:17" x14ac:dyDescent="0.4">
      <c r="B242" t="s">
        <v>347</v>
      </c>
      <c r="C242" s="10">
        <f>C239*SUM(C232:D232)</f>
        <v>189001.88505397449</v>
      </c>
      <c r="D242" s="10">
        <f>C240*(SUM(C232:D232,-C242))</f>
        <v>1769779.8689676153</v>
      </c>
      <c r="E242" s="10">
        <f>(1-C240)*(SUM(C232:D232,-C242))</f>
        <v>1179853.2459784101</v>
      </c>
      <c r="Q242" s="29"/>
    </row>
    <row r="244" spans="2:17" x14ac:dyDescent="0.4">
      <c r="B244" t="s">
        <v>343</v>
      </c>
      <c r="C244" s="23">
        <f>SUM(C231:D231)/D242</f>
        <v>1.1687409639293673</v>
      </c>
    </row>
    <row r="245" spans="2:17" x14ac:dyDescent="0.4">
      <c r="Q245" s="29"/>
    </row>
    <row r="249" spans="2:17" x14ac:dyDescent="0.4">
      <c r="B249">
        <f>303+170</f>
        <v>473</v>
      </c>
      <c r="C249">
        <f>670+170</f>
        <v>840</v>
      </c>
      <c r="D249">
        <f>830+290</f>
        <v>1120</v>
      </c>
    </row>
    <row r="250" spans="2:17" x14ac:dyDescent="0.4">
      <c r="C250">
        <f>C249/B249</f>
        <v>1.7758985200845665</v>
      </c>
      <c r="D250">
        <f>D249/C249</f>
        <v>1.3333333333333333</v>
      </c>
    </row>
    <row r="260" spans="17:17" x14ac:dyDescent="0.4">
      <c r="Q260" s="23"/>
    </row>
    <row r="284" spans="3:12" x14ac:dyDescent="0.4">
      <c r="L284" s="29"/>
    </row>
    <row r="287" spans="3:12" x14ac:dyDescent="0.4">
      <c r="C287" s="6"/>
      <c r="D287" s="6"/>
    </row>
    <row r="288" spans="3:12" x14ac:dyDescent="0.4">
      <c r="G288" s="10"/>
      <c r="H288" s="10"/>
    </row>
    <row r="293" spans="2:12" x14ac:dyDescent="0.4">
      <c r="L293" s="29"/>
    </row>
    <row r="298" spans="2:12" x14ac:dyDescent="0.4">
      <c r="B298" s="18"/>
      <c r="C298" s="3"/>
      <c r="D298" s="3"/>
    </row>
    <row r="299" spans="2:12" x14ac:dyDescent="0.4">
      <c r="B299" s="18"/>
      <c r="C299" s="3"/>
      <c r="D299" s="3"/>
    </row>
    <row r="300" spans="2:12" x14ac:dyDescent="0.4">
      <c r="B300" s="18"/>
      <c r="C300" s="3"/>
      <c r="D300" s="3"/>
    </row>
    <row r="301" spans="2:12" x14ac:dyDescent="0.4">
      <c r="B301" s="19"/>
      <c r="C301" s="33"/>
      <c r="D301" s="33"/>
    </row>
    <row r="302" spans="2:12" x14ac:dyDescent="0.4">
      <c r="B302" s="13"/>
    </row>
    <row r="303" spans="2:12" x14ac:dyDescent="0.4">
      <c r="B303" s="13"/>
    </row>
    <row r="304" spans="2:12" x14ac:dyDescent="0.4">
      <c r="B304" s="13"/>
    </row>
    <row r="305" spans="2:16" x14ac:dyDescent="0.4">
      <c r="B305" s="14"/>
      <c r="I305" s="55"/>
      <c r="J305" s="55"/>
      <c r="K305" s="55"/>
      <c r="L305" s="55"/>
      <c r="M305" s="55"/>
      <c r="N305" s="55"/>
      <c r="O305" s="55"/>
      <c r="P305" s="55"/>
    </row>
    <row r="306" spans="2:16" x14ac:dyDescent="0.4">
      <c r="B306" s="13"/>
    </row>
    <row r="307" spans="2:16" x14ac:dyDescent="0.4">
      <c r="B307" s="13"/>
    </row>
    <row r="308" spans="2:16" x14ac:dyDescent="0.4">
      <c r="B308" s="13"/>
    </row>
    <row r="309" spans="2:16" x14ac:dyDescent="0.4">
      <c r="B309" s="13"/>
    </row>
    <row r="310" spans="2:16" x14ac:dyDescent="0.4">
      <c r="B310" s="13"/>
      <c r="F310" s="15"/>
    </row>
    <row r="311" spans="2:16" x14ac:dyDescent="0.4">
      <c r="B311" s="13"/>
      <c r="F311" s="15"/>
    </row>
    <row r="314" spans="2:16" x14ac:dyDescent="0.4">
      <c r="L314" s="6"/>
    </row>
  </sheetData>
  <mergeCells count="22">
    <mergeCell ref="K154:M154"/>
    <mergeCell ref="B111:C111"/>
    <mergeCell ref="C60:D60"/>
    <mergeCell ref="C62:D62"/>
    <mergeCell ref="C63:D63"/>
    <mergeCell ref="C64:D64"/>
    <mergeCell ref="F154:I154"/>
    <mergeCell ref="B123:C123"/>
    <mergeCell ref="B68:C68"/>
    <mergeCell ref="C136:D136"/>
    <mergeCell ref="B76:C76"/>
    <mergeCell ref="B82:C82"/>
    <mergeCell ref="F199:G199"/>
    <mergeCell ref="F206:G206"/>
    <mergeCell ref="B3:C3"/>
    <mergeCell ref="B12:C12"/>
    <mergeCell ref="B21:C21"/>
    <mergeCell ref="B34:C34"/>
    <mergeCell ref="F8:J8"/>
    <mergeCell ref="F4:J4"/>
    <mergeCell ref="F16:J16"/>
    <mergeCell ref="B27:C27"/>
  </mergeCells>
  <hyperlinks>
    <hyperlink ref="B71" r:id="rId1" display="City households" xr:uid="{08CB916B-AB24-4F9A-A7AD-658A8AF4047B}"/>
    <hyperlink ref="B124" r:id="rId2" xr:uid="{EDD97F1D-EED4-4217-B2BB-A7067895276B}"/>
    <hyperlink ref="H22" r:id="rId3" xr:uid="{6DCD70A8-44BD-4ECF-8280-9C56F47EC33B}"/>
    <hyperlink ref="I22" r:id="rId4" xr:uid="{FBBC8B3E-5AA7-4913-83FC-41EE3CFF606A}"/>
    <hyperlink ref="J22" r:id="rId5" xr:uid="{F51A1F38-C7A8-4B44-9E47-E962049FE370}"/>
    <hyperlink ref="G87" r:id="rId6" location="chiffre-cle-2" xr:uid="{913E614F-DB77-41AC-A512-EEA16397E589}"/>
    <hyperlink ref="H87" r:id="rId7" location="chiffre-cle-2" xr:uid="{26F53D4A-09F8-44AB-BF19-FC444F0AD1E3}"/>
    <hyperlink ref="I87" r:id="rId8" location="chiffre-cle-2" xr:uid="{5131A27E-4B98-4C4D-8A09-693B562CACA7}"/>
    <hyperlink ref="I88" r:id="rId9" xr:uid="{2FAEE0A0-07B3-496C-BA23-4CCDEE5374F8}"/>
    <hyperlink ref="G88" r:id="rId10" display="DEP-94" xr:uid="{EE2DA9F2-3BBD-4718-9E3D-4EC00CD7606E}"/>
    <hyperlink ref="H88" r:id="rId11" xr:uid="{E4698F5C-CDE4-4B09-AE53-A9197269D279}"/>
    <hyperlink ref="F156" r:id="rId12" tooltip="MP 73" display="https://omni.wikiwand.com/fr/articles/MP_73" xr:uid="{830F003F-356B-45F7-90DA-D6F19D3CCEA8}"/>
    <hyperlink ref="F157" r:id="rId13" tooltip="MP 89" display="https://omni.wikiwand.com/fr/articles/MP_89" xr:uid="{E4DA4115-C561-4BAE-BF94-1EB31AB71835}"/>
    <hyperlink ref="F158" r:id="rId14" tooltip="MP 05" display="https://omni.wikiwand.com/fr/articles/MP_05" xr:uid="{F032E212-9DA7-462F-B36F-F9C4F22B7AC2}"/>
    <hyperlink ref="F159" r:id="rId15" tooltip="MP 14" display="https://omni.wikiwand.com/fr/articles/MP_14" xr:uid="{5433E9B3-14EB-4B66-9581-0E95EB635637}"/>
    <hyperlink ref="F160" r:id="rId16" tooltip="MF 67" display="https://omni.wikiwand.com/fr/articles/MF_67" xr:uid="{B1D77009-8719-4D87-A77A-A237A079C73F}"/>
    <hyperlink ref="F161" r:id="rId17" tooltip="MF 77" display="https://omni.wikiwand.com/fr/articles/MF_77" xr:uid="{FDCE4542-4E67-415C-8D26-794184EAF7E3}"/>
    <hyperlink ref="F162" r:id="rId18" tooltip="MF 88" display="https://omni.wikiwand.com/fr/articles/MF_88" xr:uid="{01DF7639-ADBE-474B-99DD-CBEAFB3FFF48}"/>
    <hyperlink ref="F163" r:id="rId19" tooltip="MF 01" display="https://omni.wikiwand.com/fr/articles/MF_01" xr:uid="{08C85FF1-41F9-4B31-AD41-059A5A501405}"/>
    <hyperlink ref="F164" r:id="rId20" location="Parc_actuel" xr:uid="{7116F21D-1F6C-4000-8653-9BED23CAD526}"/>
    <hyperlink ref="H168" r:id="rId21" xr:uid="{564ED654-4AF1-4F79-B3E7-EB77D866B7D8}"/>
    <hyperlink ref="G89" r:id="rId22" xr:uid="{D2730F0E-E5E5-4704-908C-3176A4CBBF8D}"/>
    <hyperlink ref="B70" r:id="rId23" display="City population" xr:uid="{0C6C6D80-8AA9-4FDA-83DE-F1B0C50A0669}"/>
    <hyperlink ref="B32" r:id="rId24" xr:uid="{C993AC06-0749-4B44-9A55-D48E57383D52}"/>
    <hyperlink ref="B88" r:id="rId25" xr:uid="{97A0FF1B-8C76-4E75-BEBF-4F4EE333174F}"/>
  </hyperlinks>
  <pageMargins left="0.7" right="0.7" top="0.75" bottom="0.75" header="0.3" footer="0.3"/>
  <pageSetup paperSize="9" orientation="portrait" horizontalDpi="1200" verticalDpi="1200" r:id="rId26"/>
  <drawing r:id="rId2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64732-38DF-4963-A4D6-3179BD78C205}">
  <sheetPr codeName="Sheet6"/>
  <dimension ref="B2:Q22"/>
  <sheetViews>
    <sheetView zoomScaleNormal="100" workbookViewId="0">
      <selection activeCell="C19" sqref="C19"/>
    </sheetView>
  </sheetViews>
  <sheetFormatPr defaultRowHeight="14.6" x14ac:dyDescent="0.4"/>
  <cols>
    <col min="1" max="1" width="3" customWidth="1"/>
    <col min="2" max="2" width="16.23046875" customWidth="1"/>
    <col min="8" max="8" width="12.84375" customWidth="1"/>
    <col min="9" max="9" width="3.921875" customWidth="1"/>
    <col min="10" max="10" width="13.15234375" customWidth="1"/>
    <col min="16" max="16" width="13.69140625" customWidth="1"/>
    <col min="17" max="17" width="4.3828125" customWidth="1"/>
  </cols>
  <sheetData>
    <row r="2" spans="2:17" x14ac:dyDescent="0.4">
      <c r="B2" s="8" t="s">
        <v>947</v>
      </c>
    </row>
    <row r="3" spans="2:17" ht="15" thickBot="1" x14ac:dyDescent="0.45"/>
    <row r="4" spans="2:17" ht="15" thickBot="1" x14ac:dyDescent="0.45">
      <c r="B4" s="86" t="s">
        <v>490</v>
      </c>
      <c r="C4" s="147" t="s">
        <v>764</v>
      </c>
      <c r="D4" s="147"/>
      <c r="E4" s="147"/>
      <c r="F4" s="147"/>
      <c r="G4" s="147"/>
      <c r="H4" s="147"/>
      <c r="I4" s="148"/>
      <c r="J4" s="149"/>
      <c r="K4" s="147"/>
      <c r="L4" s="147"/>
      <c r="M4" s="147"/>
      <c r="N4" s="147"/>
      <c r="O4" s="147"/>
      <c r="P4" s="94"/>
      <c r="Q4" s="87"/>
    </row>
    <row r="5" spans="2:17" x14ac:dyDescent="0.4">
      <c r="B5" s="137" t="s">
        <v>743</v>
      </c>
      <c r="C5" s="138"/>
      <c r="D5" s="138"/>
      <c r="E5" s="138"/>
      <c r="F5" s="138"/>
      <c r="G5" s="138"/>
      <c r="H5" s="138"/>
      <c r="I5" s="139"/>
      <c r="J5" s="100" t="s">
        <v>744</v>
      </c>
      <c r="K5" s="142"/>
      <c r="L5" s="142"/>
      <c r="M5" s="142"/>
      <c r="N5" s="142"/>
      <c r="O5" s="142"/>
      <c r="P5" s="142"/>
      <c r="Q5" s="136"/>
    </row>
    <row r="6" spans="2:17" x14ac:dyDescent="0.4">
      <c r="B6" s="80" t="s">
        <v>685</v>
      </c>
      <c r="C6" t="s">
        <v>178</v>
      </c>
      <c r="I6" s="66"/>
      <c r="J6" s="80" t="s">
        <v>685</v>
      </c>
      <c r="K6" t="s">
        <v>178</v>
      </c>
      <c r="Q6" s="66"/>
    </row>
    <row r="7" spans="2:17" x14ac:dyDescent="0.4">
      <c r="B7" s="80">
        <v>2020</v>
      </c>
      <c r="C7">
        <v>0.03</v>
      </c>
      <c r="D7" s="85" t="str">
        <f>"("&amp;_xlfn.TEXTJOIN(",",TRUE,B7,TEXT(C7,"0.000")&amp;")")</f>
        <v>(2020,0.030)</v>
      </c>
      <c r="I7" s="66"/>
      <c r="J7" s="80">
        <v>2020</v>
      </c>
      <c r="K7">
        <v>0.03</v>
      </c>
      <c r="L7" s="85" t="str">
        <f>"("&amp;_xlfn.TEXTJOIN(",",TRUE,J7,TEXT(K7,"0.000")&amp;")")</f>
        <v>(2020,0.030)</v>
      </c>
      <c r="Q7" s="66"/>
    </row>
    <row r="8" spans="2:17" x14ac:dyDescent="0.4">
      <c r="B8" s="80">
        <v>2030</v>
      </c>
      <c r="C8">
        <v>0.09</v>
      </c>
      <c r="D8" s="85" t="str">
        <f>"("&amp;_xlfn.TEXTJOIN(",",TRUE,$B8,TEXT($C8,"0.000")&amp;")")</f>
        <v>(2030,0.090)</v>
      </c>
      <c r="I8" s="66"/>
      <c r="J8" s="80">
        <v>2030</v>
      </c>
      <c r="K8">
        <v>0.09</v>
      </c>
      <c r="L8" s="85" t="str">
        <f>"("&amp;_xlfn.TEXTJOIN(",",TRUE,J8,TEXT(K8,"0.000")&amp;")")</f>
        <v>(2030,0.090)</v>
      </c>
      <c r="Q8" s="66"/>
    </row>
    <row r="9" spans="2:17" x14ac:dyDescent="0.4">
      <c r="B9" s="80">
        <v>2050</v>
      </c>
      <c r="C9">
        <v>0.27</v>
      </c>
      <c r="D9" s="85" t="str">
        <f>"("&amp;_xlfn.TEXTJOIN(",",TRUE,$B9,TEXT($C9,"0.000")&amp;")")</f>
        <v>(2050,0.270)</v>
      </c>
      <c r="I9" s="66"/>
      <c r="J9" s="80">
        <v>2050</v>
      </c>
      <c r="K9">
        <v>0.81</v>
      </c>
      <c r="L9" s="85" t="str">
        <f>"("&amp;_xlfn.TEXTJOIN(",",TRUE,J9,TEXT(K9,"0.000")&amp;")")</f>
        <v>(2050,0.810)</v>
      </c>
      <c r="Q9" s="66"/>
    </row>
    <row r="10" spans="2:17" x14ac:dyDescent="0.4">
      <c r="B10" s="80">
        <v>2060</v>
      </c>
      <c r="C10">
        <f>C9</f>
        <v>0.27</v>
      </c>
      <c r="D10" s="85" t="str">
        <f>"("&amp;_xlfn.TEXTJOIN(",",TRUE,$B10,TEXT($C10,"0.000")&amp;")")</f>
        <v>(2060,0.270)</v>
      </c>
      <c r="I10" s="66"/>
      <c r="J10" s="80">
        <v>2060</v>
      </c>
      <c r="K10">
        <f>K9</f>
        <v>0.81</v>
      </c>
      <c r="L10" s="85" t="str">
        <f>"("&amp;_xlfn.TEXTJOIN(",",TRUE,J10,TEXT(K10,"0.000")&amp;")")</f>
        <v>(2060,0.810)</v>
      </c>
      <c r="Q10" s="66"/>
    </row>
    <row r="11" spans="2:17" x14ac:dyDescent="0.4">
      <c r="B11" s="80" t="s">
        <v>510</v>
      </c>
      <c r="C11" s="84" t="str">
        <f>_xlfn.TEXTJOIN(",",TRUE,D7:D10)</f>
        <v>(2020,0.030),(2030,0.090),(2050,0.270),(2060,0.270)</v>
      </c>
      <c r="D11" s="85"/>
      <c r="I11" s="66"/>
      <c r="J11" s="80" t="s">
        <v>510</v>
      </c>
      <c r="K11" s="84" t="str">
        <f>_xlfn.TEXTJOIN(",",TRUE,L7:L10)</f>
        <v>(2020,0.030),(2030,0.090),(2050,0.810),(2060,0.810)</v>
      </c>
      <c r="L11" s="85"/>
      <c r="Q11" s="66"/>
    </row>
    <row r="12" spans="2:17" x14ac:dyDescent="0.4">
      <c r="B12" s="80"/>
      <c r="D12" s="85"/>
      <c r="I12" s="66"/>
      <c r="J12" s="80"/>
      <c r="Q12" s="66"/>
    </row>
    <row r="13" spans="2:17" ht="15" thickBot="1" x14ac:dyDescent="0.45">
      <c r="B13" s="83"/>
      <c r="C13" s="67"/>
      <c r="D13" s="143"/>
      <c r="E13" s="67"/>
      <c r="F13" s="67"/>
      <c r="G13" s="67"/>
      <c r="H13" s="67"/>
      <c r="I13" s="68"/>
      <c r="J13" s="83"/>
      <c r="K13" s="67"/>
      <c r="L13" s="67"/>
      <c r="M13" s="67"/>
      <c r="N13" s="67"/>
      <c r="O13" s="67"/>
      <c r="P13" s="67"/>
      <c r="Q13" s="68"/>
    </row>
    <row r="14" spans="2:17" x14ac:dyDescent="0.4">
      <c r="B14" s="86" t="s">
        <v>490</v>
      </c>
      <c r="C14" s="94" t="s">
        <v>745</v>
      </c>
      <c r="D14" s="94"/>
      <c r="E14" s="94"/>
      <c r="F14" s="94"/>
      <c r="G14" s="94"/>
      <c r="H14" s="94"/>
      <c r="I14" s="87"/>
      <c r="J14" s="150"/>
      <c r="K14" s="94"/>
      <c r="L14" s="94"/>
      <c r="M14" s="94"/>
      <c r="N14" s="94"/>
      <c r="O14" s="94"/>
      <c r="P14" s="94"/>
      <c r="Q14" s="87"/>
    </row>
    <row r="15" spans="2:17" x14ac:dyDescent="0.4">
      <c r="B15" s="146" t="s">
        <v>749</v>
      </c>
      <c r="C15" s="145"/>
      <c r="D15" s="145"/>
      <c r="E15" s="145"/>
      <c r="F15" s="145"/>
      <c r="G15" s="145"/>
      <c r="H15" s="145"/>
      <c r="I15" s="151"/>
      <c r="J15" s="100" t="s">
        <v>750</v>
      </c>
      <c r="K15" s="142"/>
      <c r="L15" s="142"/>
      <c r="M15" s="142"/>
      <c r="N15" s="142"/>
      <c r="O15" s="142"/>
      <c r="P15" s="142"/>
      <c r="Q15" s="136"/>
    </row>
    <row r="16" spans="2:17" x14ac:dyDescent="0.4">
      <c r="B16" s="80"/>
      <c r="I16" s="66"/>
      <c r="J16" s="80"/>
      <c r="Q16" s="66"/>
    </row>
    <row r="17" spans="2:17" x14ac:dyDescent="0.4">
      <c r="B17" s="80" t="s">
        <v>751</v>
      </c>
      <c r="C17" t="s">
        <v>178</v>
      </c>
      <c r="I17" s="66"/>
      <c r="J17" s="80" t="s">
        <v>751</v>
      </c>
      <c r="K17" t="s">
        <v>178</v>
      </c>
      <c r="Q17" s="66"/>
    </row>
    <row r="18" spans="2:17" x14ac:dyDescent="0.4">
      <c r="B18" s="80" t="s">
        <v>748</v>
      </c>
      <c r="C18">
        <v>0.24199999999999999</v>
      </c>
      <c r="I18" s="66"/>
      <c r="J18" s="80" t="s">
        <v>748</v>
      </c>
      <c r="K18">
        <v>0.17</v>
      </c>
      <c r="Q18" s="66"/>
    </row>
    <row r="19" spans="2:17" x14ac:dyDescent="0.4">
      <c r="B19" s="80" t="s">
        <v>746</v>
      </c>
      <c r="C19">
        <v>0.58399999999999996</v>
      </c>
      <c r="I19" s="66"/>
      <c r="J19" s="80" t="s">
        <v>746</v>
      </c>
      <c r="K19">
        <v>0.65</v>
      </c>
      <c r="Q19" s="66"/>
    </row>
    <row r="20" spans="2:17" x14ac:dyDescent="0.4">
      <c r="B20" s="80" t="s">
        <v>747</v>
      </c>
      <c r="C20">
        <v>0.17399999999999999</v>
      </c>
      <c r="I20" s="66"/>
      <c r="J20" s="80" t="s">
        <v>747</v>
      </c>
      <c r="K20">
        <v>0.18</v>
      </c>
      <c r="Q20" s="66"/>
    </row>
    <row r="21" spans="2:17" x14ac:dyDescent="0.4">
      <c r="B21" s="80" t="s">
        <v>510</v>
      </c>
      <c r="C21" s="84" t="str">
        <f>_xlfn.TEXTJOIN(",",TRUE,C18:C20)</f>
        <v>0.242,0.584,0.174</v>
      </c>
      <c r="I21" s="66"/>
      <c r="J21" s="80" t="s">
        <v>510</v>
      </c>
      <c r="K21" s="84" t="str">
        <f>_xlfn.TEXTJOIN(",",TRUE,K18:K20)</f>
        <v>0.17,0.65,0.18</v>
      </c>
      <c r="Q21" s="66"/>
    </row>
    <row r="22" spans="2:17" ht="15" thickBot="1" x14ac:dyDescent="0.45">
      <c r="B22" s="83"/>
      <c r="C22" s="67"/>
      <c r="D22" s="67"/>
      <c r="E22" s="67"/>
      <c r="F22" s="67"/>
      <c r="G22" s="67"/>
      <c r="H22" s="67"/>
      <c r="I22" s="68"/>
      <c r="J22" s="83"/>
      <c r="K22" s="67"/>
      <c r="L22" s="67"/>
      <c r="M22" s="67"/>
      <c r="N22" s="67"/>
      <c r="O22" s="67"/>
      <c r="P22" s="67"/>
      <c r="Q22" s="68"/>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B8FE7-62B5-403C-A4D1-43BDF08E88D7}">
  <sheetPr codeName="Sheet2"/>
  <dimension ref="B2:AB383"/>
  <sheetViews>
    <sheetView topLeftCell="C295" zoomScaleNormal="100" workbookViewId="0">
      <selection activeCell="Q305" sqref="Q305"/>
    </sheetView>
  </sheetViews>
  <sheetFormatPr defaultRowHeight="14.6" x14ac:dyDescent="0.4"/>
  <cols>
    <col min="1" max="1" width="3.07421875" customWidth="1"/>
    <col min="2" max="2" width="17.23046875" customWidth="1"/>
    <col min="3" max="3" width="14.3046875" customWidth="1"/>
    <col min="4" max="4" width="10.3828125" bestFit="1" customWidth="1"/>
    <col min="5" max="5" width="8.765625" customWidth="1"/>
    <col min="11" max="11" width="15.07421875" customWidth="1"/>
    <col min="14" max="14" width="8.84375" customWidth="1"/>
    <col min="15" max="15" width="4.53515625" customWidth="1"/>
    <col min="17" max="17" width="15.4609375" customWidth="1"/>
    <col min="18" max="18" width="9.53515625" bestFit="1" customWidth="1"/>
    <col min="19" max="19" width="8.84375" customWidth="1"/>
    <col min="24" max="24" width="13.15234375" customWidth="1"/>
  </cols>
  <sheetData>
    <row r="2" spans="2:15" ht="28.75" customHeight="1" x14ac:dyDescent="0.55000000000000004">
      <c r="B2" s="159" t="s">
        <v>894</v>
      </c>
    </row>
    <row r="3" spans="2:15" x14ac:dyDescent="0.4">
      <c r="B3" t="s">
        <v>895</v>
      </c>
    </row>
    <row r="4" spans="2:15" x14ac:dyDescent="0.4">
      <c r="B4" t="s">
        <v>896</v>
      </c>
    </row>
    <row r="6" spans="2:15" ht="15" thickBot="1" x14ac:dyDescent="0.45"/>
    <row r="7" spans="2:15" x14ac:dyDescent="0.4">
      <c r="B7" s="86" t="s">
        <v>490</v>
      </c>
      <c r="C7" s="200" t="s">
        <v>606</v>
      </c>
      <c r="D7" s="200"/>
      <c r="E7" s="200"/>
      <c r="F7" s="200"/>
      <c r="G7" s="200"/>
      <c r="H7" s="200"/>
      <c r="I7" s="200"/>
      <c r="J7" s="200"/>
      <c r="K7" s="200"/>
      <c r="L7" s="200"/>
      <c r="M7" s="200"/>
      <c r="N7" s="200"/>
      <c r="O7" s="87"/>
    </row>
    <row r="8" spans="2:15" x14ac:dyDescent="0.4">
      <c r="B8" s="80" t="s">
        <v>489</v>
      </c>
      <c r="C8" t="s">
        <v>554</v>
      </c>
      <c r="O8" s="66"/>
    </row>
    <row r="9" spans="2:15" x14ac:dyDescent="0.4">
      <c r="B9" s="80" t="s">
        <v>491</v>
      </c>
      <c r="C9">
        <v>0.4</v>
      </c>
      <c r="D9" t="s">
        <v>53</v>
      </c>
      <c r="E9" s="61" t="s">
        <v>607</v>
      </c>
      <c r="O9" s="66"/>
    </row>
    <row r="10" spans="2:15" x14ac:dyDescent="0.4">
      <c r="B10" s="80" t="s">
        <v>493</v>
      </c>
      <c r="C10">
        <v>0.9</v>
      </c>
      <c r="D10" t="s">
        <v>53</v>
      </c>
      <c r="E10" s="61" t="s">
        <v>631</v>
      </c>
      <c r="O10" s="66"/>
    </row>
    <row r="11" spans="2:15" x14ac:dyDescent="0.4">
      <c r="B11" s="80" t="s">
        <v>496</v>
      </c>
      <c r="C11">
        <v>0</v>
      </c>
      <c r="D11">
        <v>0.1</v>
      </c>
      <c r="E11" t="s">
        <v>53</v>
      </c>
      <c r="F11" s="61" t="s">
        <v>588</v>
      </c>
      <c r="O11" s="66"/>
    </row>
    <row r="12" spans="2:15" x14ac:dyDescent="0.4">
      <c r="B12" s="80" t="s">
        <v>497</v>
      </c>
      <c r="C12">
        <v>1</v>
      </c>
      <c r="D12">
        <v>0</v>
      </c>
      <c r="E12" t="s">
        <v>53</v>
      </c>
      <c r="F12" s="61"/>
      <c r="O12" s="66"/>
    </row>
    <row r="13" spans="2:15" x14ac:dyDescent="0.4">
      <c r="B13" s="80" t="s">
        <v>585</v>
      </c>
      <c r="C13">
        <f>1/C9</f>
        <v>2.5</v>
      </c>
      <c r="D13">
        <v>-0.2</v>
      </c>
      <c r="E13" t="s">
        <v>53</v>
      </c>
      <c r="F13" s="61" t="s">
        <v>885</v>
      </c>
      <c r="O13" s="66"/>
    </row>
    <row r="14" spans="2:15" x14ac:dyDescent="0.4">
      <c r="B14" s="80" t="s">
        <v>498</v>
      </c>
      <c r="C14" t="s">
        <v>586</v>
      </c>
      <c r="K14" t="s">
        <v>507</v>
      </c>
      <c r="O14" s="66"/>
    </row>
    <row r="15" spans="2:15" x14ac:dyDescent="0.4">
      <c r="B15" s="80" t="s">
        <v>817</v>
      </c>
      <c r="C15" t="s">
        <v>587</v>
      </c>
      <c r="L15" t="s">
        <v>226</v>
      </c>
      <c r="M15" t="s">
        <v>231</v>
      </c>
      <c r="N15" t="s">
        <v>96</v>
      </c>
      <c r="O15" s="66"/>
    </row>
    <row r="16" spans="2:15" x14ac:dyDescent="0.4">
      <c r="B16" s="80">
        <v>0</v>
      </c>
      <c r="C16" s="23">
        <f>D11</f>
        <v>0.1</v>
      </c>
      <c r="D16" s="85" t="str">
        <f>"("&amp;_xlfn.TEXTJOIN(",",TRUE,$B16,TEXT($C16,"0.000")&amp;")")</f>
        <v>(0,0.100)</v>
      </c>
      <c r="K16" t="s">
        <v>501</v>
      </c>
      <c r="L16">
        <v>0</v>
      </c>
      <c r="M16">
        <v>0.1</v>
      </c>
      <c r="N16">
        <v>0</v>
      </c>
      <c r="O16" s="66"/>
    </row>
    <row r="17" spans="2:15" x14ac:dyDescent="0.4">
      <c r="B17" s="90">
        <f>B16+($B$21-$B$16)/5</f>
        <v>0.2</v>
      </c>
      <c r="C17" s="17">
        <f>$L$22*B17^2+$M$22*B17+$N$22</f>
        <v>9.6000000000000002E-2</v>
      </c>
      <c r="D17" s="85" t="str">
        <f t="shared" ref="D17:D26" si="0">"("&amp;_xlfn.TEXTJOIN(",",TRUE,$B17,TEXT($C17,"0.000")&amp;")")</f>
        <v>(0.2,0.096)</v>
      </c>
      <c r="K17" t="s">
        <v>502</v>
      </c>
      <c r="L17">
        <v>1</v>
      </c>
      <c r="M17">
        <f>D12</f>
        <v>0</v>
      </c>
      <c r="N17">
        <v>3</v>
      </c>
      <c r="O17" s="66"/>
    </row>
    <row r="18" spans="2:15" x14ac:dyDescent="0.4">
      <c r="B18" s="90">
        <f t="shared" ref="B18:B20" si="1">B17+($B$21-$B$16)/5</f>
        <v>0.4</v>
      </c>
      <c r="C18" s="17">
        <f>$L$22*B18^2+$M$22*B18+$N$22</f>
        <v>8.4000000000000005E-2</v>
      </c>
      <c r="D18" s="85" t="str">
        <f t="shared" si="0"/>
        <v>(0.4,0.084)</v>
      </c>
      <c r="K18" t="s">
        <v>521</v>
      </c>
      <c r="L18">
        <v>1</v>
      </c>
      <c r="M18">
        <v>1</v>
      </c>
      <c r="N18">
        <v>0</v>
      </c>
      <c r="O18" s="66"/>
    </row>
    <row r="19" spans="2:15" x14ac:dyDescent="0.4">
      <c r="B19" s="90">
        <f t="shared" si="1"/>
        <v>0.60000000000000009</v>
      </c>
      <c r="C19" s="17">
        <f>$L$22*B19^2+$M$22*B19+$N$22</f>
        <v>6.4000000000000001E-2</v>
      </c>
      <c r="D19" s="85" t="str">
        <f t="shared" si="0"/>
        <v>(0.6,0.064)</v>
      </c>
      <c r="O19" s="66"/>
    </row>
    <row r="20" spans="2:15" x14ac:dyDescent="0.4">
      <c r="B20" s="90">
        <f t="shared" si="1"/>
        <v>0.8</v>
      </c>
      <c r="C20" s="17">
        <f>$L$22*B20^2+$M$22*B20+$N$22</f>
        <v>3.599999999999999E-2</v>
      </c>
      <c r="D20" s="85" t="str">
        <f t="shared" si="0"/>
        <v>(0.8,0.036)</v>
      </c>
      <c r="K20" t="s">
        <v>503</v>
      </c>
      <c r="O20" s="66"/>
    </row>
    <row r="21" spans="2:15" x14ac:dyDescent="0.4">
      <c r="B21" s="80">
        <v>1</v>
      </c>
      <c r="C21" s="17">
        <f>D12</f>
        <v>0</v>
      </c>
      <c r="D21" s="85" t="str">
        <f t="shared" si="0"/>
        <v>(1,0.000)</v>
      </c>
      <c r="L21" t="s">
        <v>504</v>
      </c>
      <c r="M21" t="s">
        <v>505</v>
      </c>
      <c r="N21" t="s">
        <v>506</v>
      </c>
      <c r="O21" s="66"/>
    </row>
    <row r="22" spans="2:15" x14ac:dyDescent="0.4">
      <c r="B22" s="90">
        <f>B21+($B$26-$B$21)/5</f>
        <v>1.3</v>
      </c>
      <c r="C22" s="17">
        <f>C21+C21-C20</f>
        <v>-3.599999999999999E-2</v>
      </c>
      <c r="D22" s="85" t="str">
        <f t="shared" si="0"/>
        <v>(1.3,-0.036)</v>
      </c>
      <c r="K22" t="s">
        <v>508</v>
      </c>
      <c r="L22">
        <f xml:space="preserve"> ( (M16 - M17) - (N16 * (L16 - L17)) ) / ((L16^2 - L17^2) - 2*L16*L17*(L16 - L17))</f>
        <v>-0.1</v>
      </c>
      <c r="M22">
        <f xml:space="preserve"> 2 * L16 * L22 + N16</f>
        <v>0</v>
      </c>
      <c r="N22">
        <f xml:space="preserve"> M16 - L16^2 * L22 - L16 * M22</f>
        <v>0.1</v>
      </c>
      <c r="O22" s="66"/>
    </row>
    <row r="23" spans="2:15" x14ac:dyDescent="0.4">
      <c r="B23" s="90">
        <f t="shared" ref="B23:B25" si="2">B22+($B$26-$B$21)/5</f>
        <v>1.6</v>
      </c>
      <c r="C23" s="17">
        <v>-8.5000000000000006E-2</v>
      </c>
      <c r="D23" s="85" t="str">
        <f t="shared" si="0"/>
        <v>(1.6,-0.085)</v>
      </c>
      <c r="K23" t="s">
        <v>509</v>
      </c>
      <c r="L23" s="61" t="str">
        <f>"y = " &amp; effect_lookups!L22 &amp; "*x^2 + " &amp; effect_lookups!M22 &amp; "*x + " &amp; effect_lookups!N22</f>
        <v>y = -0.1*x^2 + 0*x + 0.1</v>
      </c>
      <c r="O23" s="66"/>
    </row>
    <row r="24" spans="2:15" x14ac:dyDescent="0.4">
      <c r="B24" s="90">
        <f t="shared" si="2"/>
        <v>1.9000000000000001</v>
      </c>
      <c r="C24" s="17">
        <v>-0.14000000000000001</v>
      </c>
      <c r="D24" s="85" t="str">
        <f t="shared" si="0"/>
        <v>(1.9,-0.140)</v>
      </c>
      <c r="O24" s="66"/>
    </row>
    <row r="25" spans="2:15" x14ac:dyDescent="0.4">
      <c r="B25" s="90">
        <f t="shared" si="2"/>
        <v>2.2000000000000002</v>
      </c>
      <c r="C25" s="17">
        <v>-0.19</v>
      </c>
      <c r="D25" s="85" t="str">
        <f t="shared" si="0"/>
        <v>(2.2,-0.190)</v>
      </c>
      <c r="O25" s="66"/>
    </row>
    <row r="26" spans="2:15" x14ac:dyDescent="0.4">
      <c r="B26" s="90">
        <v>2.5</v>
      </c>
      <c r="C26" s="17">
        <f>D13</f>
        <v>-0.2</v>
      </c>
      <c r="D26" s="85" t="str">
        <f t="shared" si="0"/>
        <v>(2.5,-0.200)</v>
      </c>
      <c r="K26">
        <v>2.5</v>
      </c>
      <c r="O26" s="66"/>
    </row>
    <row r="27" spans="2:15" x14ac:dyDescent="0.4">
      <c r="B27" s="80">
        <v>6</v>
      </c>
      <c r="C27" s="23">
        <f>C26</f>
        <v>-0.2</v>
      </c>
      <c r="D27" s="85" t="str">
        <f>"("&amp;_xlfn.TEXTJOIN(",",TRUE,$B27,TEXT($C27,"0.000")&amp;")")</f>
        <v>(6,-0.200)</v>
      </c>
      <c r="O27" s="66"/>
    </row>
    <row r="28" spans="2:15" x14ac:dyDescent="0.4">
      <c r="B28" s="80" t="s">
        <v>510</v>
      </c>
      <c r="C28" s="84" t="str">
        <f>_xlfn.TEXTJOIN(",",TRUE,D16:D27)</f>
        <v>(0,0.100),(0.2,0.096),(0.4,0.084),(0.6,0.064),(0.8,0.036),(1,0.000),(1.3,-0.036),(1.6,-0.085),(1.9,-0.140),(2.2,-0.190),(2.5,-0.200),(6,-0.200)</v>
      </c>
      <c r="O28" s="66"/>
    </row>
    <row r="29" spans="2:15" x14ac:dyDescent="0.4">
      <c r="B29" s="80" t="s">
        <v>500</v>
      </c>
      <c r="C29" s="201" t="s">
        <v>522</v>
      </c>
      <c r="D29" s="201"/>
      <c r="E29" s="201"/>
      <c r="F29" s="201"/>
      <c r="G29" s="201"/>
      <c r="H29" s="201"/>
      <c r="I29" s="201"/>
      <c r="J29" s="201"/>
      <c r="K29" s="201"/>
      <c r="L29" s="201"/>
      <c r="M29" s="201"/>
      <c r="N29" s="201"/>
      <c r="O29" s="88"/>
    </row>
    <row r="30" spans="2:15" ht="15" thickBot="1" x14ac:dyDescent="0.45">
      <c r="B30" s="83"/>
      <c r="C30" s="67"/>
      <c r="D30" s="67"/>
      <c r="E30" s="67"/>
      <c r="F30" s="67"/>
      <c r="G30" s="67"/>
      <c r="H30" s="67"/>
      <c r="I30" s="67"/>
      <c r="J30" s="67"/>
      <c r="K30" s="67"/>
      <c r="L30" s="67"/>
      <c r="M30" s="67"/>
      <c r="N30" s="67"/>
      <c r="O30" s="68"/>
    </row>
    <row r="31" spans="2:15" x14ac:dyDescent="0.4">
      <c r="B31" s="86" t="s">
        <v>490</v>
      </c>
      <c r="C31" s="200" t="s">
        <v>573</v>
      </c>
      <c r="D31" s="200"/>
      <c r="E31" s="200"/>
      <c r="F31" s="200"/>
      <c r="G31" s="200"/>
      <c r="H31" s="200"/>
      <c r="I31" s="200"/>
      <c r="J31" s="200"/>
      <c r="K31" s="200"/>
      <c r="L31" s="200"/>
      <c r="M31" s="200"/>
      <c r="N31" s="200"/>
      <c r="O31" s="87"/>
    </row>
    <row r="32" spans="2:15" x14ac:dyDescent="0.4">
      <c r="B32" s="80" t="s">
        <v>489</v>
      </c>
      <c r="C32" t="s">
        <v>554</v>
      </c>
      <c r="O32" s="66"/>
    </row>
    <row r="33" spans="2:15" x14ac:dyDescent="0.4">
      <c r="B33" s="80" t="s">
        <v>491</v>
      </c>
      <c r="C33">
        <v>0.47</v>
      </c>
      <c r="D33" t="s">
        <v>53</v>
      </c>
      <c r="E33" s="61" t="s">
        <v>574</v>
      </c>
      <c r="O33" s="66"/>
    </row>
    <row r="34" spans="2:15" x14ac:dyDescent="0.4">
      <c r="B34" s="80" t="s">
        <v>493</v>
      </c>
      <c r="C34">
        <v>20</v>
      </c>
      <c r="D34" t="s">
        <v>495</v>
      </c>
      <c r="E34" s="61" t="s">
        <v>494</v>
      </c>
      <c r="O34" s="66"/>
    </row>
    <row r="35" spans="2:15" x14ac:dyDescent="0.4">
      <c r="B35" s="80" t="s">
        <v>496</v>
      </c>
      <c r="C35">
        <v>0</v>
      </c>
      <c r="D35">
        <v>-0.05</v>
      </c>
      <c r="E35" t="s">
        <v>53</v>
      </c>
      <c r="F35" s="61" t="s">
        <v>589</v>
      </c>
      <c r="O35" s="66"/>
    </row>
    <row r="36" spans="2:15" x14ac:dyDescent="0.4">
      <c r="B36" s="80" t="s">
        <v>497</v>
      </c>
      <c r="C36">
        <v>1</v>
      </c>
      <c r="D36">
        <v>0</v>
      </c>
      <c r="E36" t="s">
        <v>53</v>
      </c>
      <c r="F36" s="61" t="s">
        <v>576</v>
      </c>
      <c r="O36" s="66"/>
    </row>
    <row r="37" spans="2:15" x14ac:dyDescent="0.4">
      <c r="B37" s="80" t="s">
        <v>575</v>
      </c>
      <c r="C37">
        <v>2</v>
      </c>
      <c r="D37">
        <v>0.05</v>
      </c>
      <c r="E37" t="s">
        <v>53</v>
      </c>
      <c r="F37" s="61" t="s">
        <v>590</v>
      </c>
      <c r="O37" s="66"/>
    </row>
    <row r="38" spans="2:15" x14ac:dyDescent="0.4">
      <c r="B38" s="80" t="s">
        <v>498</v>
      </c>
      <c r="C38" t="s">
        <v>578</v>
      </c>
      <c r="K38" t="s">
        <v>507</v>
      </c>
      <c r="O38" s="66"/>
    </row>
    <row r="39" spans="2:15" x14ac:dyDescent="0.4">
      <c r="B39" s="80" t="s">
        <v>816</v>
      </c>
      <c r="C39" t="s">
        <v>587</v>
      </c>
      <c r="L39" t="s">
        <v>226</v>
      </c>
      <c r="M39" t="s">
        <v>231</v>
      </c>
      <c r="N39" t="s">
        <v>96</v>
      </c>
      <c r="O39" s="66"/>
    </row>
    <row r="40" spans="2:15" x14ac:dyDescent="0.4">
      <c r="B40" s="80">
        <v>0</v>
      </c>
      <c r="C40" s="23">
        <f>D35</f>
        <v>-0.05</v>
      </c>
      <c r="D40" s="85" t="str">
        <f>"("&amp;_xlfn.TEXTJOIN(",",TRUE,$B40,TEXT($C40,"0.000")&amp;")")</f>
        <v>(0,-0.050)</v>
      </c>
      <c r="K40" t="s">
        <v>501</v>
      </c>
      <c r="L40">
        <v>0</v>
      </c>
      <c r="M40">
        <f>D35</f>
        <v>-0.05</v>
      </c>
      <c r="N40">
        <v>0</v>
      </c>
      <c r="O40" s="66"/>
    </row>
    <row r="41" spans="2:15" x14ac:dyDescent="0.4">
      <c r="B41" s="80">
        <v>0.2</v>
      </c>
      <c r="C41" s="17">
        <f>$L$46*B41^2+$M$46*B41+$N$46</f>
        <v>-4.8000000000000001E-2</v>
      </c>
      <c r="D41" s="85" t="str">
        <f t="shared" ref="D41:D50" si="3">"("&amp;_xlfn.TEXTJOIN(",",TRUE,$B41,TEXT($C41,"0.000")&amp;")")</f>
        <v>(0.2,-0.048)</v>
      </c>
      <c r="K41" t="s">
        <v>502</v>
      </c>
      <c r="L41">
        <v>1</v>
      </c>
      <c r="M41">
        <v>0</v>
      </c>
      <c r="N41">
        <v>5</v>
      </c>
      <c r="O41" s="66"/>
    </row>
    <row r="42" spans="2:15" x14ac:dyDescent="0.4">
      <c r="B42" s="80">
        <f>B41+0.2</f>
        <v>0.4</v>
      </c>
      <c r="C42" s="17">
        <f>$L$46*B42^2+$M$46*B42+$N$46</f>
        <v>-4.2000000000000003E-2</v>
      </c>
      <c r="D42" s="85" t="str">
        <f t="shared" si="3"/>
        <v>(0.4,-0.042)</v>
      </c>
      <c r="O42" s="66"/>
    </row>
    <row r="43" spans="2:15" x14ac:dyDescent="0.4">
      <c r="B43" s="80">
        <f t="shared" ref="B43:B50" si="4">B42+0.2</f>
        <v>0.60000000000000009</v>
      </c>
      <c r="C43" s="17">
        <f>$L$46*B43^2+$M$46*B43+$N$46</f>
        <v>-3.2000000000000001E-2</v>
      </c>
      <c r="D43" s="85" t="str">
        <f t="shared" si="3"/>
        <v>(0.6,-0.032)</v>
      </c>
      <c r="O43" s="66"/>
    </row>
    <row r="44" spans="2:15" x14ac:dyDescent="0.4">
      <c r="B44" s="80">
        <f t="shared" si="4"/>
        <v>0.8</v>
      </c>
      <c r="C44" s="17">
        <f>$L$46*B44^2+$M$46*B44+$N$46</f>
        <v>-1.7999999999999995E-2</v>
      </c>
      <c r="D44" s="85" t="str">
        <f t="shared" si="3"/>
        <v>(0.8,-0.018)</v>
      </c>
      <c r="K44" t="s">
        <v>503</v>
      </c>
      <c r="O44" s="66"/>
    </row>
    <row r="45" spans="2:15" x14ac:dyDescent="0.4">
      <c r="B45" s="80">
        <f t="shared" si="4"/>
        <v>1</v>
      </c>
      <c r="C45" s="17">
        <f>$L$46*B45^2+$M$46*B45+$N$46</f>
        <v>0</v>
      </c>
      <c r="D45" s="85" t="str">
        <f t="shared" si="3"/>
        <v>(1,0.000)</v>
      </c>
      <c r="L45" t="s">
        <v>504</v>
      </c>
      <c r="M45" t="s">
        <v>505</v>
      </c>
      <c r="N45" t="s">
        <v>506</v>
      </c>
      <c r="O45" s="66"/>
    </row>
    <row r="46" spans="2:15" x14ac:dyDescent="0.4">
      <c r="B46" s="80">
        <v>1.1000000000000001</v>
      </c>
      <c r="C46" s="17">
        <f>C45+(C45-C44)</f>
        <v>1.7999999999999995E-2</v>
      </c>
      <c r="D46" s="85" t="str">
        <f t="shared" si="3"/>
        <v>(1.1,0.018)</v>
      </c>
      <c r="K46" t="s">
        <v>508</v>
      </c>
      <c r="L46">
        <f xml:space="preserve"> ( (M40 - M41) - (N40 * (L40 - L41)) ) / ((L40^2 - L41^2) - 2*L40*L41*(L40 - L41))</f>
        <v>0.05</v>
      </c>
      <c r="M46">
        <f xml:space="preserve"> 2 * L40 * L46 + N40</f>
        <v>0</v>
      </c>
      <c r="N46">
        <f xml:space="preserve"> M40 - L40^2 * L46 - L40 * M46</f>
        <v>-0.05</v>
      </c>
      <c r="O46" s="66"/>
    </row>
    <row r="47" spans="2:15" x14ac:dyDescent="0.4">
      <c r="B47" s="80">
        <v>1.2</v>
      </c>
      <c r="C47" s="17">
        <f>C46+(C44-C43)</f>
        <v>3.2000000000000001E-2</v>
      </c>
      <c r="D47" s="85" t="str">
        <f t="shared" si="3"/>
        <v>(1.2,0.032)</v>
      </c>
      <c r="K47" t="s">
        <v>509</v>
      </c>
      <c r="L47" s="61" t="str">
        <f>"y = " &amp; effect_lookups!L46 &amp; "*x^2 + " &amp; effect_lookups!M46 &amp; "*x + " &amp; effect_lookups!N46</f>
        <v>y = 0.05*x^2 + 0*x + -0.05</v>
      </c>
      <c r="O47" s="66"/>
    </row>
    <row r="48" spans="2:15" x14ac:dyDescent="0.4">
      <c r="B48" s="80">
        <v>1.3</v>
      </c>
      <c r="C48" s="17">
        <f>C47+(C43-C42)</f>
        <v>4.2000000000000003E-2</v>
      </c>
      <c r="D48" s="85" t="str">
        <f t="shared" si="3"/>
        <v>(1.3,0.042)</v>
      </c>
      <c r="O48" s="66"/>
    </row>
    <row r="49" spans="2:15" x14ac:dyDescent="0.4">
      <c r="B49" s="80">
        <v>1.4</v>
      </c>
      <c r="C49" s="17">
        <f>C48+C42-C41</f>
        <v>4.8000000000000001E-2</v>
      </c>
      <c r="D49" s="85" t="str">
        <f t="shared" si="3"/>
        <v>(1.4,0.048)</v>
      </c>
      <c r="O49" s="66"/>
    </row>
    <row r="50" spans="2:15" x14ac:dyDescent="0.4">
      <c r="B50" s="80">
        <f t="shared" si="4"/>
        <v>1.5999999999999999</v>
      </c>
      <c r="C50" s="17">
        <f>C49+C41-C40</f>
        <v>0.05</v>
      </c>
      <c r="D50" s="85" t="str">
        <f t="shared" si="3"/>
        <v>(1.6,0.050)</v>
      </c>
      <c r="O50" s="66"/>
    </row>
    <row r="51" spans="2:15" x14ac:dyDescent="0.4">
      <c r="B51" s="80" t="s">
        <v>510</v>
      </c>
      <c r="C51" s="84" t="str">
        <f>_xlfn.TEXTJOIN(",",TRUE,D40:D50)</f>
        <v>(0,-0.050),(0.2,-0.048),(0.4,-0.042),(0.6,-0.032),(0.8,-0.018),(1,0.000),(1.1,0.018),(1.2,0.032),(1.3,0.042),(1.4,0.048),(1.6,0.050)</v>
      </c>
      <c r="O51" s="66"/>
    </row>
    <row r="52" spans="2:15" x14ac:dyDescent="0.4">
      <c r="B52" s="80" t="s">
        <v>500</v>
      </c>
      <c r="C52" t="s">
        <v>579</v>
      </c>
      <c r="O52" s="89"/>
    </row>
    <row r="53" spans="2:15" ht="15" thickBot="1" x14ac:dyDescent="0.45">
      <c r="B53" s="83"/>
      <c r="C53" s="67"/>
      <c r="D53" s="67"/>
      <c r="E53" s="67"/>
      <c r="F53" s="67"/>
      <c r="G53" s="67"/>
      <c r="H53" s="67"/>
      <c r="I53" s="67"/>
      <c r="J53" s="67"/>
      <c r="K53" s="67"/>
      <c r="L53" s="67"/>
      <c r="M53" s="67"/>
      <c r="N53" s="67"/>
      <c r="O53" s="68"/>
    </row>
    <row r="54" spans="2:15" x14ac:dyDescent="0.4">
      <c r="B54" s="86" t="s">
        <v>490</v>
      </c>
      <c r="C54" s="200" t="s">
        <v>582</v>
      </c>
      <c r="D54" s="200"/>
      <c r="E54" s="200"/>
      <c r="F54" s="200"/>
      <c r="G54" s="200"/>
      <c r="H54" s="200"/>
      <c r="I54" s="200"/>
      <c r="J54" s="200"/>
      <c r="K54" s="200"/>
      <c r="L54" s="200"/>
      <c r="M54" s="200"/>
      <c r="N54" s="200"/>
      <c r="O54" s="87"/>
    </row>
    <row r="55" spans="2:15" x14ac:dyDescent="0.4">
      <c r="B55" s="80" t="s">
        <v>489</v>
      </c>
      <c r="C55" t="s">
        <v>554</v>
      </c>
      <c r="O55" s="66"/>
    </row>
    <row r="56" spans="2:15" x14ac:dyDescent="0.4">
      <c r="B56" s="80" t="s">
        <v>491</v>
      </c>
      <c r="C56">
        <v>2.4</v>
      </c>
      <c r="D56" t="s">
        <v>581</v>
      </c>
      <c r="E56" s="61" t="s">
        <v>925</v>
      </c>
      <c r="O56" s="66"/>
    </row>
    <row r="57" spans="2:15" x14ac:dyDescent="0.4">
      <c r="B57" s="80" t="s">
        <v>493</v>
      </c>
      <c r="C57">
        <v>20</v>
      </c>
      <c r="D57" t="s">
        <v>495</v>
      </c>
      <c r="E57" s="61" t="s">
        <v>494</v>
      </c>
      <c r="O57" s="66"/>
    </row>
    <row r="58" spans="2:15" x14ac:dyDescent="0.4">
      <c r="B58" s="80" t="s">
        <v>580</v>
      </c>
      <c r="C58" s="23">
        <f>1/C56</f>
        <v>0.41666666666666669</v>
      </c>
      <c r="D58">
        <v>-0.1</v>
      </c>
      <c r="E58" s="61" t="s">
        <v>591</v>
      </c>
      <c r="O58" s="66"/>
    </row>
    <row r="59" spans="2:15" x14ac:dyDescent="0.4">
      <c r="B59" s="80" t="s">
        <v>497</v>
      </c>
      <c r="C59">
        <v>1</v>
      </c>
      <c r="D59">
        <v>0</v>
      </c>
      <c r="E59" s="61" t="s">
        <v>576</v>
      </c>
      <c r="O59" s="66"/>
    </row>
    <row r="60" spans="2:15" x14ac:dyDescent="0.4">
      <c r="B60" s="80" t="s">
        <v>577</v>
      </c>
      <c r="C60" s="23">
        <f>4/C56</f>
        <v>1.6666666666666667</v>
      </c>
      <c r="D60">
        <v>0.2</v>
      </c>
      <c r="E60" s="61" t="s">
        <v>592</v>
      </c>
      <c r="O60" s="66"/>
    </row>
    <row r="61" spans="2:15" x14ac:dyDescent="0.4">
      <c r="B61" s="80" t="s">
        <v>498</v>
      </c>
      <c r="C61" t="s">
        <v>593</v>
      </c>
      <c r="K61" t="s">
        <v>507</v>
      </c>
      <c r="O61" s="66"/>
    </row>
    <row r="62" spans="2:15" x14ac:dyDescent="0.4">
      <c r="B62" s="80" t="s">
        <v>583</v>
      </c>
      <c r="C62" t="s">
        <v>587</v>
      </c>
      <c r="O62" s="66"/>
    </row>
    <row r="63" spans="2:15" x14ac:dyDescent="0.4">
      <c r="B63" s="80">
        <v>0</v>
      </c>
      <c r="C63" s="23">
        <f>C64</f>
        <v>-0.1</v>
      </c>
      <c r="D63" s="85" t="str">
        <f>"("&amp;_xlfn.TEXTJOIN(",",TRUE,$B63,TEXT($C63,"0.000")&amp;")")</f>
        <v>(0,-0.100)</v>
      </c>
      <c r="O63" s="66"/>
    </row>
    <row r="64" spans="2:15" x14ac:dyDescent="0.4">
      <c r="B64" s="90">
        <f>ROUND(C58,2)</f>
        <v>0.42</v>
      </c>
      <c r="C64" s="17">
        <v>-0.1</v>
      </c>
      <c r="D64" s="85" t="str">
        <f>"("&amp;_xlfn.TEXTJOIN(",",TRUE,$B64,TEXT($C64,"0.000")&amp;")")</f>
        <v>(0.42,-0.100)</v>
      </c>
      <c r="L64" s="23"/>
      <c r="M64" s="23"/>
      <c r="O64" s="66"/>
    </row>
    <row r="65" spans="2:15" x14ac:dyDescent="0.4">
      <c r="B65" s="90">
        <f>B64+($B$69-$B$64)/5</f>
        <v>0.53600000000000003</v>
      </c>
      <c r="C65" s="17">
        <v>-0.09</v>
      </c>
      <c r="D65" s="85" t="str">
        <f t="shared" ref="D65:D75" si="5">"("&amp;_xlfn.TEXTJOIN(",",TRUE,$B65,TEXT($C65,"0.000")&amp;")")</f>
        <v>(0.536,-0.090)</v>
      </c>
      <c r="L65" s="23"/>
      <c r="M65" s="23"/>
      <c r="O65" s="66"/>
    </row>
    <row r="66" spans="2:15" x14ac:dyDescent="0.4">
      <c r="B66" s="90">
        <f>B65+($B$69-$B$64)/5</f>
        <v>0.65200000000000002</v>
      </c>
      <c r="C66" s="17">
        <v>-7.4999999999999997E-2</v>
      </c>
      <c r="D66" s="85" t="str">
        <f t="shared" si="5"/>
        <v>(0.652,-0.075)</v>
      </c>
      <c r="O66" s="66"/>
    </row>
    <row r="67" spans="2:15" x14ac:dyDescent="0.4">
      <c r="B67" s="90">
        <f>B66+($B$69-$B$64)/5</f>
        <v>0.76800000000000002</v>
      </c>
      <c r="C67" s="17">
        <v>-5.5E-2</v>
      </c>
      <c r="D67" s="85" t="str">
        <f t="shared" si="5"/>
        <v>(0.768,-0.055)</v>
      </c>
      <c r="O67" s="66"/>
    </row>
    <row r="68" spans="2:15" x14ac:dyDescent="0.4">
      <c r="B68" s="90">
        <f>B67+($B$69-$B$64)/5</f>
        <v>0.88400000000000001</v>
      </c>
      <c r="C68" s="17">
        <v>-0.03</v>
      </c>
      <c r="D68" s="85" t="str">
        <f t="shared" si="5"/>
        <v>(0.884,-0.030)</v>
      </c>
      <c r="O68" s="66"/>
    </row>
    <row r="69" spans="2:15" x14ac:dyDescent="0.4">
      <c r="B69" s="80">
        <v>1</v>
      </c>
      <c r="C69" s="17">
        <v>0</v>
      </c>
      <c r="D69" s="85" t="str">
        <f t="shared" si="5"/>
        <v>(1,0.000)</v>
      </c>
      <c r="O69" s="66"/>
    </row>
    <row r="70" spans="2:15" x14ac:dyDescent="0.4">
      <c r="B70" s="90">
        <f>B69+($B$74-$B$69)/5</f>
        <v>1.1339999999999999</v>
      </c>
      <c r="C70" s="17">
        <v>0.03</v>
      </c>
      <c r="D70" s="85" t="str">
        <f t="shared" si="5"/>
        <v>(1.134,0.030)</v>
      </c>
      <c r="O70" s="66"/>
    </row>
    <row r="71" spans="2:15" x14ac:dyDescent="0.4">
      <c r="B71" s="90">
        <f t="shared" ref="B71:B73" si="6">B70+($B$74-$B$69)/5</f>
        <v>1.2679999999999998</v>
      </c>
      <c r="C71" s="17">
        <v>6.5000000000000002E-2</v>
      </c>
      <c r="D71" s="85" t="str">
        <f t="shared" si="5"/>
        <v>(1.268,0.065)</v>
      </c>
      <c r="L71" s="61"/>
      <c r="O71" s="66"/>
    </row>
    <row r="72" spans="2:15" x14ac:dyDescent="0.4">
      <c r="B72" s="90">
        <f t="shared" si="6"/>
        <v>1.4019999999999997</v>
      </c>
      <c r="C72" s="17">
        <v>0.1</v>
      </c>
      <c r="D72" s="85" t="str">
        <f t="shared" si="5"/>
        <v>(1.402,0.100)</v>
      </c>
      <c r="O72" s="66"/>
    </row>
    <row r="73" spans="2:15" x14ac:dyDescent="0.4">
      <c r="B73" s="90">
        <f t="shared" si="6"/>
        <v>1.5359999999999996</v>
      </c>
      <c r="C73" s="17">
        <v>0.14499999999999999</v>
      </c>
      <c r="D73" s="85" t="str">
        <f t="shared" si="5"/>
        <v>(1.536,0.145)</v>
      </c>
      <c r="O73" s="66"/>
    </row>
    <row r="74" spans="2:15" x14ac:dyDescent="0.4">
      <c r="B74" s="90">
        <v>1.67</v>
      </c>
      <c r="C74" s="17">
        <v>0.2</v>
      </c>
      <c r="D74" s="85" t="str">
        <f t="shared" si="5"/>
        <v>(1.67,0.200)</v>
      </c>
      <c r="O74" s="66"/>
    </row>
    <row r="75" spans="2:15" x14ac:dyDescent="0.4">
      <c r="B75" s="90">
        <v>4</v>
      </c>
      <c r="C75" s="17">
        <f>C74</f>
        <v>0.2</v>
      </c>
      <c r="D75" s="85" t="str">
        <f t="shared" si="5"/>
        <v>(4,0.200)</v>
      </c>
      <c r="O75" s="66"/>
    </row>
    <row r="76" spans="2:15" x14ac:dyDescent="0.4">
      <c r="B76" s="80" t="s">
        <v>510</v>
      </c>
      <c r="C76" s="84" t="str">
        <f>_xlfn.TEXTJOIN(",",TRUE,D63:D75)</f>
        <v>(0,-0.100),(0.42,-0.100),(0.536,-0.090),(0.652,-0.075),(0.768,-0.055),(0.884,-0.030),(1,0.000),(1.134,0.030),(1.268,0.065),(1.402,0.100),(1.536,0.145),(1.67,0.200),(4,0.200)</v>
      </c>
      <c r="O76" s="66"/>
    </row>
    <row r="77" spans="2:15" x14ac:dyDescent="0.4">
      <c r="B77" s="80" t="s">
        <v>500</v>
      </c>
      <c r="C77" s="201" t="s">
        <v>584</v>
      </c>
      <c r="D77" s="201"/>
      <c r="E77" s="201"/>
      <c r="F77" s="201"/>
      <c r="G77" s="201"/>
      <c r="H77" s="201"/>
      <c r="I77" s="201"/>
      <c r="J77" s="201"/>
      <c r="K77" s="201"/>
      <c r="L77" s="201"/>
      <c r="M77" s="201"/>
      <c r="N77" s="201"/>
      <c r="O77" s="89"/>
    </row>
    <row r="78" spans="2:15" ht="15" thickBot="1" x14ac:dyDescent="0.45">
      <c r="B78" s="83"/>
      <c r="C78" s="67"/>
      <c r="D78" s="67"/>
      <c r="E78" s="67"/>
      <c r="F78" s="67"/>
      <c r="G78" s="67"/>
      <c r="H78" s="67"/>
      <c r="I78" s="67"/>
      <c r="J78" s="67"/>
      <c r="K78" s="67"/>
      <c r="L78" s="67"/>
      <c r="M78" s="67"/>
      <c r="N78" s="67"/>
      <c r="O78" s="68"/>
    </row>
    <row r="79" spans="2:15" x14ac:dyDescent="0.4">
      <c r="B79" s="86" t="s">
        <v>490</v>
      </c>
      <c r="C79" s="200" t="s">
        <v>634</v>
      </c>
      <c r="D79" s="200"/>
      <c r="E79" s="200"/>
      <c r="F79" s="200"/>
      <c r="G79" s="200"/>
      <c r="H79" s="200"/>
      <c r="I79" s="200"/>
      <c r="J79" s="200"/>
      <c r="K79" s="200"/>
      <c r="L79" s="200"/>
      <c r="M79" s="200"/>
      <c r="N79" s="200"/>
      <c r="O79" s="87"/>
    </row>
    <row r="80" spans="2:15" x14ac:dyDescent="0.4">
      <c r="B80" s="80" t="s">
        <v>489</v>
      </c>
      <c r="C80" t="s">
        <v>492</v>
      </c>
      <c r="O80" s="66"/>
    </row>
    <row r="81" spans="2:28" x14ac:dyDescent="0.4">
      <c r="B81" s="80" t="s">
        <v>491</v>
      </c>
      <c r="C81">
        <v>0.4</v>
      </c>
      <c r="D81" t="s">
        <v>53</v>
      </c>
      <c r="E81" s="61" t="s">
        <v>607</v>
      </c>
      <c r="O81" s="66"/>
    </row>
    <row r="82" spans="2:28" x14ac:dyDescent="0.4">
      <c r="B82" s="80" t="s">
        <v>493</v>
      </c>
      <c r="C82">
        <v>1.4</v>
      </c>
      <c r="D82" t="s">
        <v>53</v>
      </c>
      <c r="E82" s="61" t="s">
        <v>632</v>
      </c>
      <c r="O82" s="66"/>
    </row>
    <row r="83" spans="2:28" x14ac:dyDescent="0.4">
      <c r="B83" s="80" t="s">
        <v>496</v>
      </c>
      <c r="C83">
        <f>1.5*C84</f>
        <v>1.5</v>
      </c>
      <c r="D83" t="s">
        <v>53</v>
      </c>
      <c r="E83" s="61" t="s">
        <v>926</v>
      </c>
      <c r="O83" s="66"/>
    </row>
    <row r="84" spans="2:28" x14ac:dyDescent="0.4">
      <c r="B84" s="80" t="s">
        <v>497</v>
      </c>
      <c r="C84">
        <v>1</v>
      </c>
      <c r="D84" t="s">
        <v>53</v>
      </c>
      <c r="F84" s="61"/>
      <c r="O84" s="66"/>
    </row>
    <row r="85" spans="2:28" x14ac:dyDescent="0.4">
      <c r="B85" s="80" t="s">
        <v>585</v>
      </c>
      <c r="C85" s="9">
        <f>1.1/C82</f>
        <v>0.78571428571428581</v>
      </c>
      <c r="D85" t="s">
        <v>53</v>
      </c>
      <c r="E85" s="61" t="s">
        <v>633</v>
      </c>
      <c r="O85" s="66"/>
    </row>
    <row r="86" spans="2:28" x14ac:dyDescent="0.4">
      <c r="B86" s="80" t="s">
        <v>498</v>
      </c>
      <c r="C86" t="s">
        <v>608</v>
      </c>
      <c r="K86" t="s">
        <v>507</v>
      </c>
      <c r="O86" s="66"/>
    </row>
    <row r="87" spans="2:28" x14ac:dyDescent="0.4">
      <c r="B87" s="80" t="s">
        <v>499</v>
      </c>
      <c r="C87" t="s">
        <v>587</v>
      </c>
      <c r="L87" t="s">
        <v>226</v>
      </c>
      <c r="M87" t="s">
        <v>231</v>
      </c>
      <c r="N87" t="s">
        <v>96</v>
      </c>
      <c r="O87" s="66"/>
      <c r="R87" s="23"/>
      <c r="V87" s="17"/>
      <c r="W87" s="17"/>
      <c r="X87" s="17"/>
      <c r="Y87" s="17"/>
      <c r="Z87" s="17"/>
      <c r="AA87" s="17"/>
      <c r="AB87" s="17"/>
    </row>
    <row r="88" spans="2:28" x14ac:dyDescent="0.4">
      <c r="B88" s="80">
        <v>0</v>
      </c>
      <c r="C88" s="17">
        <f>C83</f>
        <v>1.5</v>
      </c>
      <c r="D88" s="85" t="str">
        <f>"("&amp;_xlfn.TEXTJOIN(",",TRUE,$B88,TEXT($C88,"0.000")&amp;")")</f>
        <v>(0,1.500)</v>
      </c>
      <c r="K88" t="s">
        <v>501</v>
      </c>
      <c r="L88">
        <v>0</v>
      </c>
      <c r="M88">
        <v>1.5</v>
      </c>
      <c r="N88">
        <v>0</v>
      </c>
      <c r="O88" s="66"/>
      <c r="Q88" s="17"/>
    </row>
    <row r="89" spans="2:28" x14ac:dyDescent="0.4">
      <c r="B89" s="90">
        <f>B88+($B$21-$B$16)/5</f>
        <v>0.2</v>
      </c>
      <c r="C89" s="17">
        <f>$L$94*B89^2+$M$94*B89+$N$94</f>
        <v>1.48</v>
      </c>
      <c r="D89" s="85" t="str">
        <f t="shared" ref="D89:D99" si="7">"("&amp;_xlfn.TEXTJOIN(",",TRUE,$B89,TEXT($C89,"0.000")&amp;")")</f>
        <v>(0.2,1.480)</v>
      </c>
      <c r="K89" t="s">
        <v>502</v>
      </c>
      <c r="L89">
        <v>1</v>
      </c>
      <c r="M89">
        <f>C84</f>
        <v>1</v>
      </c>
      <c r="N89">
        <v>2</v>
      </c>
      <c r="O89" s="66"/>
    </row>
    <row r="90" spans="2:28" x14ac:dyDescent="0.4">
      <c r="B90" s="90">
        <f t="shared" ref="B90:B92" si="8">B89+($B$21-$B$16)/5</f>
        <v>0.4</v>
      </c>
      <c r="C90" s="17">
        <f t="shared" ref="C90:C93" si="9">$L$94*B90^2+$M$94*B90+$N$94</f>
        <v>1.42</v>
      </c>
      <c r="D90" s="85" t="str">
        <f t="shared" si="7"/>
        <v>(0.4,1.420)</v>
      </c>
      <c r="O90" s="66"/>
    </row>
    <row r="91" spans="2:28" x14ac:dyDescent="0.4">
      <c r="B91" s="90">
        <f t="shared" si="8"/>
        <v>0.60000000000000009</v>
      </c>
      <c r="C91" s="17">
        <f t="shared" si="9"/>
        <v>1.3199999999999998</v>
      </c>
      <c r="D91" s="85" t="str">
        <f t="shared" si="7"/>
        <v>(0.6,1.320)</v>
      </c>
      <c r="O91" s="66"/>
    </row>
    <row r="92" spans="2:28" x14ac:dyDescent="0.4">
      <c r="B92" s="90">
        <f t="shared" si="8"/>
        <v>0.8</v>
      </c>
      <c r="C92" s="17">
        <f t="shared" si="9"/>
        <v>1.18</v>
      </c>
      <c r="D92" s="85" t="str">
        <f t="shared" si="7"/>
        <v>(0.8,1.180)</v>
      </c>
      <c r="K92" t="s">
        <v>503</v>
      </c>
      <c r="O92" s="66"/>
    </row>
    <row r="93" spans="2:28" x14ac:dyDescent="0.4">
      <c r="B93" s="80">
        <v>1</v>
      </c>
      <c r="C93" s="17">
        <f t="shared" si="9"/>
        <v>1</v>
      </c>
      <c r="D93" s="85" t="str">
        <f t="shared" si="7"/>
        <v>(1,1.000)</v>
      </c>
      <c r="L93" t="s">
        <v>504</v>
      </c>
      <c r="M93" t="s">
        <v>505</v>
      </c>
      <c r="N93" t="s">
        <v>506</v>
      </c>
      <c r="O93" s="66"/>
    </row>
    <row r="94" spans="2:28" x14ac:dyDescent="0.4">
      <c r="B94" s="90">
        <f>B93+(2.5-1)/5</f>
        <v>1.3</v>
      </c>
      <c r="C94" s="17">
        <f>C93+(C93-C92)/2.5</f>
        <v>0.92800000000000005</v>
      </c>
      <c r="D94" s="85" t="str">
        <f t="shared" si="7"/>
        <v>(1.3,0.928)</v>
      </c>
      <c r="K94" t="s">
        <v>508</v>
      </c>
      <c r="L94">
        <f xml:space="preserve"> ( (M88 - M89) - (N88 * (L88 - L89)) ) / ((L88^2 - L89^2) - 2*L88*L89*(L88 - L89))</f>
        <v>-0.5</v>
      </c>
      <c r="M94">
        <f xml:space="preserve"> 2 * L88 * L94 + N88</f>
        <v>0</v>
      </c>
      <c r="N94">
        <f xml:space="preserve"> M88 - L88^2 * L94 - L88 * M94</f>
        <v>1.5</v>
      </c>
      <c r="O94" s="66"/>
      <c r="Q94" s="17"/>
    </row>
    <row r="95" spans="2:28" x14ac:dyDescent="0.4">
      <c r="B95" s="90">
        <f t="shared" ref="B95:B98" si="10">B94+(2.5-1)/5</f>
        <v>1.6</v>
      </c>
      <c r="C95" s="17">
        <f>C94+(C92-C91)/2.5</f>
        <v>0.87200000000000011</v>
      </c>
      <c r="D95" s="85" t="str">
        <f t="shared" si="7"/>
        <v>(1.6,0.872)</v>
      </c>
      <c r="K95" t="s">
        <v>509</v>
      </c>
      <c r="L95" s="61" t="str">
        <f>"y = " &amp; effect_lookups!L94 &amp; "*x^2 + " &amp; effect_lookups!M94 &amp; "*x + " &amp; effect_lookups!N94</f>
        <v>y = -0.5*x^2 + 0*x + 1.5</v>
      </c>
      <c r="O95" s="66"/>
    </row>
    <row r="96" spans="2:28" x14ac:dyDescent="0.4">
      <c r="B96" s="90">
        <f t="shared" si="10"/>
        <v>1.9000000000000001</v>
      </c>
      <c r="C96" s="17">
        <f>C95+(C91-C90)/2.5</f>
        <v>0.83200000000000007</v>
      </c>
      <c r="D96" s="85" t="str">
        <f t="shared" si="7"/>
        <v>(1.9,0.832)</v>
      </c>
      <c r="O96" s="66"/>
    </row>
    <row r="97" spans="2:28" x14ac:dyDescent="0.4">
      <c r="B97" s="90">
        <f t="shared" si="10"/>
        <v>2.2000000000000002</v>
      </c>
      <c r="C97" s="17">
        <f>C96+(C90-C89)/2.5</f>
        <v>0.80800000000000005</v>
      </c>
      <c r="D97" s="85" t="str">
        <f t="shared" si="7"/>
        <v>(2.2,0.808)</v>
      </c>
      <c r="O97" s="66"/>
    </row>
    <row r="98" spans="2:28" x14ac:dyDescent="0.4">
      <c r="B98" s="90">
        <f t="shared" si="10"/>
        <v>2.5</v>
      </c>
      <c r="C98" s="17">
        <f>C97+(C89-C88)/2.5</f>
        <v>0.8</v>
      </c>
      <c r="D98" s="85" t="str">
        <f t="shared" si="7"/>
        <v>(2.5,0.800)</v>
      </c>
      <c r="O98" s="66"/>
    </row>
    <row r="99" spans="2:28" x14ac:dyDescent="0.4">
      <c r="B99" s="90">
        <v>6</v>
      </c>
      <c r="C99" s="23">
        <f>C98</f>
        <v>0.8</v>
      </c>
      <c r="D99" s="85" t="str">
        <f t="shared" si="7"/>
        <v>(6,0.800)</v>
      </c>
      <c r="O99" s="66"/>
    </row>
    <row r="100" spans="2:28" x14ac:dyDescent="0.4">
      <c r="B100" s="80" t="s">
        <v>510</v>
      </c>
      <c r="C100" s="84" t="str">
        <f>_xlfn.TEXTJOIN(",",TRUE,D88:D99)</f>
        <v>(0,1.500),(0.2,1.480),(0.4,1.420),(0.6,1.320),(0.8,1.180),(1,1.000),(1.3,0.928),(1.6,0.872),(1.9,0.832),(2.2,0.808),(2.5,0.800),(6,0.800)</v>
      </c>
      <c r="O100" s="66"/>
    </row>
    <row r="101" spans="2:28" x14ac:dyDescent="0.4">
      <c r="B101" s="80" t="s">
        <v>500</v>
      </c>
      <c r="C101" s="28"/>
      <c r="D101" s="28"/>
      <c r="E101" s="28"/>
      <c r="F101" s="28"/>
      <c r="G101" s="28"/>
      <c r="H101" s="28"/>
      <c r="I101" s="28"/>
      <c r="J101" s="28"/>
      <c r="K101" s="28"/>
      <c r="L101" s="28"/>
      <c r="M101" s="28"/>
      <c r="N101" s="28"/>
      <c r="O101" s="88"/>
    </row>
    <row r="102" spans="2:28" ht="15" thickBot="1" x14ac:dyDescent="0.45">
      <c r="B102" s="83"/>
      <c r="C102" s="67"/>
      <c r="D102" s="67"/>
      <c r="E102" s="67"/>
      <c r="F102" s="67"/>
      <c r="G102" s="67"/>
      <c r="H102" s="67"/>
      <c r="I102" s="67"/>
      <c r="J102" s="67"/>
      <c r="K102" s="67"/>
      <c r="L102" s="67"/>
      <c r="M102" s="67"/>
      <c r="N102" s="67"/>
      <c r="O102" s="68"/>
    </row>
    <row r="103" spans="2:28" x14ac:dyDescent="0.4">
      <c r="B103" s="86" t="s">
        <v>490</v>
      </c>
      <c r="C103" s="200" t="s">
        <v>890</v>
      </c>
      <c r="D103" s="200"/>
      <c r="E103" s="200"/>
      <c r="F103" s="200"/>
      <c r="G103" s="200"/>
      <c r="H103" s="200"/>
      <c r="I103" s="200"/>
      <c r="J103" s="200"/>
      <c r="K103" s="200"/>
      <c r="L103" s="200"/>
      <c r="M103" s="200"/>
      <c r="N103" s="200"/>
      <c r="O103" s="87"/>
    </row>
    <row r="104" spans="2:28" x14ac:dyDescent="0.4">
      <c r="B104" s="80" t="s">
        <v>489</v>
      </c>
      <c r="C104" t="s">
        <v>492</v>
      </c>
      <c r="O104" s="66"/>
    </row>
    <row r="105" spans="2:28" x14ac:dyDescent="0.4">
      <c r="B105" s="80" t="s">
        <v>491</v>
      </c>
      <c r="C105">
        <v>2.4</v>
      </c>
      <c r="D105" t="s">
        <v>53</v>
      </c>
      <c r="E105" s="61" t="s">
        <v>910</v>
      </c>
      <c r="O105" s="66"/>
    </row>
    <row r="106" spans="2:28" x14ac:dyDescent="0.4">
      <c r="B106" s="80" t="s">
        <v>493</v>
      </c>
      <c r="C106" s="23">
        <v>1.4</v>
      </c>
      <c r="D106" t="s">
        <v>53</v>
      </c>
      <c r="E106" s="61" t="s">
        <v>909</v>
      </c>
      <c r="O106" s="66"/>
    </row>
    <row r="107" spans="2:28" x14ac:dyDescent="0.4">
      <c r="B107" s="80" t="s">
        <v>496</v>
      </c>
      <c r="C107" s="23">
        <v>1.5</v>
      </c>
      <c r="D107" t="s">
        <v>53</v>
      </c>
      <c r="E107" s="61" t="s">
        <v>939</v>
      </c>
      <c r="O107" s="66"/>
    </row>
    <row r="108" spans="2:28" x14ac:dyDescent="0.4">
      <c r="B108" s="80" t="s">
        <v>497</v>
      </c>
      <c r="C108">
        <v>1</v>
      </c>
      <c r="D108" t="s">
        <v>53</v>
      </c>
      <c r="F108" s="61"/>
      <c r="O108" s="66"/>
    </row>
    <row r="109" spans="2:28" x14ac:dyDescent="0.4">
      <c r="B109" s="80" t="s">
        <v>585</v>
      </c>
      <c r="C109" s="23">
        <f>1.1/C106</f>
        <v>0.78571428571428581</v>
      </c>
      <c r="D109" t="s">
        <v>53</v>
      </c>
      <c r="E109" s="61" t="s">
        <v>911</v>
      </c>
      <c r="O109" s="66"/>
    </row>
    <row r="110" spans="2:28" x14ac:dyDescent="0.4">
      <c r="B110" s="80" t="s">
        <v>498</v>
      </c>
      <c r="C110" t="s">
        <v>608</v>
      </c>
      <c r="K110" t="s">
        <v>507</v>
      </c>
      <c r="O110" s="66"/>
    </row>
    <row r="111" spans="2:28" x14ac:dyDescent="0.4">
      <c r="B111" s="80" t="s">
        <v>938</v>
      </c>
      <c r="C111" t="s">
        <v>913</v>
      </c>
      <c r="L111" t="s">
        <v>226</v>
      </c>
      <c r="M111" t="s">
        <v>231</v>
      </c>
      <c r="N111" t="s">
        <v>96</v>
      </c>
      <c r="O111" s="66"/>
      <c r="R111" s="23"/>
      <c r="V111" s="17"/>
      <c r="W111" s="17"/>
      <c r="X111" s="17"/>
      <c r="Y111" s="17"/>
      <c r="Z111" s="17"/>
      <c r="AA111" s="17"/>
      <c r="AB111" s="17"/>
    </row>
    <row r="112" spans="2:28" x14ac:dyDescent="0.4">
      <c r="B112" s="80">
        <v>0</v>
      </c>
      <c r="C112" s="17">
        <f>$L$118*B112^2+$M$118*B112+$N$118</f>
        <v>1.5</v>
      </c>
      <c r="D112" s="85" t="str">
        <f>"("&amp;_xlfn.TEXTJOIN(",",TRUE,$B112,TEXT($C112,"0.000")&amp;")")</f>
        <v>(0,1.500)</v>
      </c>
      <c r="K112" t="s">
        <v>501</v>
      </c>
      <c r="L112">
        <v>0</v>
      </c>
      <c r="M112" s="23">
        <f>C107</f>
        <v>1.5</v>
      </c>
      <c r="N112">
        <v>0</v>
      </c>
      <c r="O112" s="66"/>
      <c r="Q112" s="17"/>
    </row>
    <row r="113" spans="2:17" x14ac:dyDescent="0.4">
      <c r="B113" s="90">
        <f>B112+($B$21-$B$16)/5</f>
        <v>0.2</v>
      </c>
      <c r="C113" s="17">
        <f>$L$118*B113^2+$M$118*B113+$N$118</f>
        <v>1.48</v>
      </c>
      <c r="D113" s="85" t="str">
        <f t="shared" ref="D113:D123" si="11">"("&amp;_xlfn.TEXTJOIN(",",TRUE,$B113,TEXT($C113,"0.000")&amp;")")</f>
        <v>(0.2,1.480)</v>
      </c>
      <c r="K113" t="s">
        <v>502</v>
      </c>
      <c r="L113">
        <v>1</v>
      </c>
      <c r="M113">
        <f>C108</f>
        <v>1</v>
      </c>
      <c r="N113">
        <v>2</v>
      </c>
      <c r="O113" s="66"/>
    </row>
    <row r="114" spans="2:17" x14ac:dyDescent="0.4">
      <c r="B114" s="90">
        <f t="shared" ref="B114:B116" si="12">B113+($B$21-$B$16)/5</f>
        <v>0.4</v>
      </c>
      <c r="C114" s="17">
        <f t="shared" ref="C114:C117" si="13">$L$118*B114^2+$M$118*B114+$N$118</f>
        <v>1.42</v>
      </c>
      <c r="D114" s="85" t="str">
        <f t="shared" si="11"/>
        <v>(0.4,1.420)</v>
      </c>
      <c r="O114" s="66"/>
    </row>
    <row r="115" spans="2:17" x14ac:dyDescent="0.4">
      <c r="B115" s="90">
        <f t="shared" si="12"/>
        <v>0.60000000000000009</v>
      </c>
      <c r="C115" s="17">
        <f t="shared" si="13"/>
        <v>1.3199999999999998</v>
      </c>
      <c r="D115" s="85" t="str">
        <f t="shared" si="11"/>
        <v>(0.6,1.320)</v>
      </c>
      <c r="O115" s="66"/>
    </row>
    <row r="116" spans="2:17" x14ac:dyDescent="0.4">
      <c r="B116" s="90">
        <f t="shared" si="12"/>
        <v>0.8</v>
      </c>
      <c r="C116" s="17">
        <f t="shared" si="13"/>
        <v>1.18</v>
      </c>
      <c r="D116" s="85" t="str">
        <f t="shared" si="11"/>
        <v>(0.8,1.180)</v>
      </c>
      <c r="K116" t="s">
        <v>503</v>
      </c>
      <c r="O116" s="66"/>
    </row>
    <row r="117" spans="2:17" x14ac:dyDescent="0.4">
      <c r="B117" s="80">
        <v>1</v>
      </c>
      <c r="C117" s="17">
        <f t="shared" si="13"/>
        <v>1</v>
      </c>
      <c r="D117" s="85" t="str">
        <f t="shared" si="11"/>
        <v>(1,1.000)</v>
      </c>
      <c r="L117" t="s">
        <v>504</v>
      </c>
      <c r="M117" t="s">
        <v>505</v>
      </c>
      <c r="N117" t="s">
        <v>506</v>
      </c>
      <c r="O117" s="66"/>
    </row>
    <row r="118" spans="2:17" x14ac:dyDescent="0.4">
      <c r="B118" s="90">
        <f>ROUND(B117+($B$123-$B$117)/5,3)</f>
        <v>1.133</v>
      </c>
      <c r="C118" s="17">
        <f>C117+(C117-C116)/$L$121</f>
        <v>0.94217177125722862</v>
      </c>
      <c r="D118" s="85" t="str">
        <f t="shared" si="11"/>
        <v>(1.133,0.942)</v>
      </c>
      <c r="K118" t="s">
        <v>508</v>
      </c>
      <c r="L118">
        <f xml:space="preserve"> ( (M112 - M113) - (N112 * (L112 - L113)) ) / ((L112^2 - L113^2) - 2*L112*L113*(L112 - L113))</f>
        <v>-0.5</v>
      </c>
      <c r="M118">
        <f xml:space="preserve"> 2 * L112 * L118 + N112</f>
        <v>0</v>
      </c>
      <c r="N118">
        <f xml:space="preserve"> M112 - L112^2 * L118 - L112 * M118</f>
        <v>1.5</v>
      </c>
      <c r="O118" s="66"/>
      <c r="Q118" s="17"/>
    </row>
    <row r="119" spans="2:17" x14ac:dyDescent="0.4">
      <c r="B119" s="90">
        <f t="shared" ref="B119:B122" si="14">ROUND(B118+($B$123-$B$117)/5,3)</f>
        <v>1.266</v>
      </c>
      <c r="C119" s="17">
        <f>C118+(C116-C115)/L121</f>
        <v>0.89719426001285085</v>
      </c>
      <c r="D119" s="85" t="str">
        <f t="shared" si="11"/>
        <v>(1.266,0.897)</v>
      </c>
      <c r="K119" t="s">
        <v>509</v>
      </c>
      <c r="L119" s="61" t="str">
        <f>"y = " &amp; effect_lookups!L118 &amp; "*x^2 + " &amp; effect_lookups!M118 &amp; "*x + " &amp; effect_lookups!N118</f>
        <v>y = -0.5*x^2 + 0*x + 1.5</v>
      </c>
      <c r="O119" s="66"/>
    </row>
    <row r="120" spans="2:17" x14ac:dyDescent="0.4">
      <c r="B120" s="90">
        <f t="shared" si="14"/>
        <v>1.399</v>
      </c>
      <c r="C120" s="17">
        <f>C119+(C115-C114)/$L$121</f>
        <v>0.8650674662668667</v>
      </c>
      <c r="D120" s="85" t="str">
        <f t="shared" si="11"/>
        <v>(1.399,0.865)</v>
      </c>
      <c r="O120" s="66"/>
    </row>
    <row r="121" spans="2:17" x14ac:dyDescent="0.4">
      <c r="B121" s="90">
        <f t="shared" si="14"/>
        <v>1.532</v>
      </c>
      <c r="C121" s="17">
        <f>C120+(C114-C113)/$L$121</f>
        <v>0.84579139001927617</v>
      </c>
      <c r="D121" s="85" t="str">
        <f t="shared" si="11"/>
        <v>(1.532,0.846)</v>
      </c>
      <c r="K121" t="s">
        <v>912</v>
      </c>
      <c r="L121">
        <f>(B123-B117)/(C108-C109)</f>
        <v>3.112666666666668</v>
      </c>
      <c r="O121" s="66"/>
    </row>
    <row r="122" spans="2:17" x14ac:dyDescent="0.4">
      <c r="B122" s="90">
        <f t="shared" si="14"/>
        <v>1.665</v>
      </c>
      <c r="C122" s="17">
        <f>C121+(C113-C112)/$L$121</f>
        <v>0.83936603127007936</v>
      </c>
      <c r="D122" s="85" t="str">
        <f t="shared" si="11"/>
        <v>(1.665,0.839)</v>
      </c>
      <c r="O122" s="66"/>
    </row>
    <row r="123" spans="2:17" x14ac:dyDescent="0.4">
      <c r="B123" s="90">
        <f>ROUND(4/C105,3)</f>
        <v>1.667</v>
      </c>
      <c r="C123" s="23">
        <f>C122</f>
        <v>0.83936603127007936</v>
      </c>
      <c r="D123" s="85" t="str">
        <f t="shared" si="11"/>
        <v>(1.667,0.839)</v>
      </c>
      <c r="O123" s="66"/>
    </row>
    <row r="124" spans="2:17" x14ac:dyDescent="0.4">
      <c r="B124" s="80" t="s">
        <v>510</v>
      </c>
      <c r="C124" s="84" t="str">
        <f>_xlfn.TEXTJOIN(",",TRUE,D112:D123)</f>
        <v>(0,1.500),(0.2,1.480),(0.4,1.420),(0.6,1.320),(0.8,1.180),(1,1.000),(1.133,0.942),(1.266,0.897),(1.399,0.865),(1.532,0.846),(1.665,0.839),(1.667,0.839)</v>
      </c>
      <c r="O124" s="66"/>
    </row>
    <row r="125" spans="2:17" x14ac:dyDescent="0.4">
      <c r="B125" s="80" t="s">
        <v>500</v>
      </c>
      <c r="C125" s="28"/>
      <c r="D125" s="28"/>
      <c r="E125" s="28"/>
      <c r="F125" s="28"/>
      <c r="G125" s="28"/>
      <c r="H125" s="28"/>
      <c r="I125" s="28"/>
      <c r="J125" s="28"/>
      <c r="K125" s="28"/>
      <c r="L125" s="28"/>
      <c r="M125" s="28"/>
      <c r="N125" s="28"/>
      <c r="O125" s="88"/>
    </row>
    <row r="126" spans="2:17" ht="15" thickBot="1" x14ac:dyDescent="0.45">
      <c r="B126" s="83"/>
      <c r="C126" s="67"/>
      <c r="D126" s="67"/>
      <c r="E126" s="67"/>
      <c r="F126" s="67"/>
      <c r="G126" s="67"/>
      <c r="H126" s="67"/>
      <c r="I126" s="67"/>
      <c r="J126" s="67"/>
      <c r="K126" s="67"/>
      <c r="L126" s="67"/>
      <c r="M126" s="67"/>
      <c r="N126" s="67"/>
      <c r="O126" s="68"/>
    </row>
    <row r="127" spans="2:17" x14ac:dyDescent="0.4">
      <c r="B127" s="86" t="s">
        <v>490</v>
      </c>
      <c r="C127" s="200" t="s">
        <v>609</v>
      </c>
      <c r="D127" s="200"/>
      <c r="E127" s="200"/>
      <c r="F127" s="200"/>
      <c r="G127" s="200"/>
      <c r="H127" s="200"/>
      <c r="I127" s="200"/>
      <c r="J127" s="200"/>
      <c r="K127" s="200"/>
      <c r="L127" s="200"/>
      <c r="M127" s="200"/>
      <c r="N127" s="200"/>
      <c r="O127" s="87"/>
    </row>
    <row r="128" spans="2:17" x14ac:dyDescent="0.4">
      <c r="B128" s="80" t="s">
        <v>489</v>
      </c>
      <c r="C128" t="s">
        <v>492</v>
      </c>
      <c r="O128" s="66"/>
    </row>
    <row r="129" spans="2:28" x14ac:dyDescent="0.4">
      <c r="B129" s="80" t="s">
        <v>491</v>
      </c>
      <c r="C129" s="76">
        <v>2.99</v>
      </c>
      <c r="D129" s="76">
        <v>1.5</v>
      </c>
      <c r="E129" t="s">
        <v>53</v>
      </c>
      <c r="F129" s="61" t="s">
        <v>610</v>
      </c>
      <c r="O129" s="66"/>
    </row>
    <row r="130" spans="2:28" x14ac:dyDescent="0.4">
      <c r="B130" s="80" t="s">
        <v>493</v>
      </c>
      <c r="C130">
        <v>0.02</v>
      </c>
      <c r="D130" t="s">
        <v>53</v>
      </c>
      <c r="E130" s="61" t="s">
        <v>611</v>
      </c>
      <c r="O130" s="66"/>
    </row>
    <row r="131" spans="2:28" x14ac:dyDescent="0.4">
      <c r="B131" s="80" t="s">
        <v>496</v>
      </c>
      <c r="C131">
        <v>0</v>
      </c>
      <c r="D131" s="23">
        <v>0</v>
      </c>
      <c r="E131" t="s">
        <v>53</v>
      </c>
      <c r="F131" s="61" t="s">
        <v>612</v>
      </c>
      <c r="O131" s="66"/>
    </row>
    <row r="132" spans="2:28" x14ac:dyDescent="0.4">
      <c r="B132" s="80" t="s">
        <v>497</v>
      </c>
      <c r="C132">
        <v>1</v>
      </c>
      <c r="D132">
        <v>1</v>
      </c>
      <c r="E132" t="s">
        <v>53</v>
      </c>
      <c r="F132" s="61"/>
      <c r="O132" s="66"/>
    </row>
    <row r="133" spans="2:28" x14ac:dyDescent="0.4">
      <c r="B133" s="80" t="s">
        <v>585</v>
      </c>
      <c r="C133">
        <v>2</v>
      </c>
      <c r="D133">
        <v>2</v>
      </c>
      <c r="E133" t="s">
        <v>53</v>
      </c>
      <c r="F133" s="61" t="s">
        <v>613</v>
      </c>
      <c r="O133" s="66"/>
    </row>
    <row r="134" spans="2:28" x14ac:dyDescent="0.4">
      <c r="B134" s="80" t="s">
        <v>498</v>
      </c>
      <c r="C134" t="s">
        <v>614</v>
      </c>
      <c r="K134" t="s">
        <v>507</v>
      </c>
      <c r="O134" s="66"/>
    </row>
    <row r="135" spans="2:28" x14ac:dyDescent="0.4">
      <c r="B135" s="80" t="s">
        <v>616</v>
      </c>
      <c r="C135" t="s">
        <v>630</v>
      </c>
      <c r="L135" t="s">
        <v>226</v>
      </c>
      <c r="M135" t="s">
        <v>231</v>
      </c>
      <c r="N135" t="s">
        <v>96</v>
      </c>
      <c r="O135" s="66"/>
      <c r="R135" s="23"/>
      <c r="V135" s="17"/>
      <c r="W135" s="17"/>
      <c r="X135" s="17"/>
      <c r="Y135" s="17"/>
      <c r="Z135" s="17"/>
      <c r="AA135" s="17"/>
      <c r="AB135" s="17"/>
    </row>
    <row r="136" spans="2:28" x14ac:dyDescent="0.4">
      <c r="B136" s="80">
        <v>0</v>
      </c>
      <c r="C136" s="23">
        <f>D131</f>
        <v>0</v>
      </c>
      <c r="D136" s="85" t="str">
        <f>"("&amp;_xlfn.TEXTJOIN(",",TRUE,$B136,TEXT($C136,"0.000")&amp;")")</f>
        <v>(0,0.000)</v>
      </c>
      <c r="K136" t="s">
        <v>501</v>
      </c>
      <c r="L136">
        <v>0</v>
      </c>
      <c r="M136">
        <v>0</v>
      </c>
      <c r="N136">
        <v>0</v>
      </c>
      <c r="O136" s="66"/>
      <c r="Q136" s="17"/>
    </row>
    <row r="137" spans="2:28" x14ac:dyDescent="0.4">
      <c r="B137" s="80">
        <v>0.2</v>
      </c>
      <c r="C137" s="17">
        <f>$L$142*B137^2+$M$142*B137+$N$142</f>
        <v>4.0000000000000008E-2</v>
      </c>
      <c r="D137" s="85" t="str">
        <f t="shared" ref="D137:D147" si="15">"("&amp;_xlfn.TEXTJOIN(",",TRUE,$B137,TEXT($C137,"0.000")&amp;")")</f>
        <v>(0.2,0.040)</v>
      </c>
      <c r="K137" t="s">
        <v>502</v>
      </c>
      <c r="L137">
        <v>1</v>
      </c>
      <c r="M137">
        <f>D132</f>
        <v>1</v>
      </c>
      <c r="N137">
        <v>2</v>
      </c>
      <c r="O137" s="66"/>
    </row>
    <row r="138" spans="2:28" x14ac:dyDescent="0.4">
      <c r="B138" s="80">
        <f>B137+0.2</f>
        <v>0.4</v>
      </c>
      <c r="C138" s="17">
        <f t="shared" ref="C138:C141" si="16">$L$142*B138^2+$M$142*B138+$N$142</f>
        <v>0.16000000000000003</v>
      </c>
      <c r="D138" s="85" t="str">
        <f t="shared" si="15"/>
        <v>(0.4,0.160)</v>
      </c>
      <c r="O138" s="66"/>
    </row>
    <row r="139" spans="2:28" x14ac:dyDescent="0.4">
      <c r="B139" s="80">
        <f t="shared" ref="B139:B146" si="17">B138+0.2</f>
        <v>0.60000000000000009</v>
      </c>
      <c r="C139" s="17">
        <f t="shared" si="16"/>
        <v>0.3600000000000001</v>
      </c>
      <c r="D139" s="85" t="str">
        <f t="shared" si="15"/>
        <v>(0.6,0.360)</v>
      </c>
      <c r="O139" s="66"/>
    </row>
    <row r="140" spans="2:28" x14ac:dyDescent="0.4">
      <c r="B140" s="80">
        <f t="shared" si="17"/>
        <v>0.8</v>
      </c>
      <c r="C140" s="17">
        <f t="shared" si="16"/>
        <v>0.64000000000000012</v>
      </c>
      <c r="D140" s="85" t="str">
        <f t="shared" si="15"/>
        <v>(0.8,0.640)</v>
      </c>
      <c r="K140" t="s">
        <v>503</v>
      </c>
      <c r="O140" s="66"/>
    </row>
    <row r="141" spans="2:28" x14ac:dyDescent="0.4">
      <c r="B141" s="80">
        <f t="shared" si="17"/>
        <v>1</v>
      </c>
      <c r="C141" s="17">
        <f t="shared" si="16"/>
        <v>1</v>
      </c>
      <c r="D141" s="85" t="str">
        <f t="shared" si="15"/>
        <v>(1,1.000)</v>
      </c>
      <c r="L141" t="s">
        <v>504</v>
      </c>
      <c r="M141" t="s">
        <v>505</v>
      </c>
      <c r="N141" t="s">
        <v>506</v>
      </c>
      <c r="O141" s="66"/>
    </row>
    <row r="142" spans="2:28" x14ac:dyDescent="0.4">
      <c r="B142" s="80">
        <f t="shared" si="17"/>
        <v>1.2</v>
      </c>
      <c r="C142" s="17">
        <f>C141+(C141-C140)</f>
        <v>1.3599999999999999</v>
      </c>
      <c r="D142" s="85" t="str">
        <f t="shared" si="15"/>
        <v>(1.2,1.360)</v>
      </c>
      <c r="K142" t="s">
        <v>508</v>
      </c>
      <c r="L142">
        <f xml:space="preserve"> ( (M136 - M137) - (N136 * (L136 - L137)) ) / ((L136^2 - L137^2) - 2*L136*L137*(L136 - L137))</f>
        <v>1</v>
      </c>
      <c r="M142">
        <f xml:space="preserve"> 2 * L136 * L142 + N136</f>
        <v>0</v>
      </c>
      <c r="N142">
        <f xml:space="preserve"> M136 - L136^2 * L142 - L136 * M142</f>
        <v>0</v>
      </c>
      <c r="O142" s="66"/>
      <c r="Q142" s="17"/>
    </row>
    <row r="143" spans="2:28" x14ac:dyDescent="0.4">
      <c r="B143" s="80">
        <f t="shared" si="17"/>
        <v>1.4</v>
      </c>
      <c r="C143" s="17">
        <f>C142+(C140-C139)</f>
        <v>1.64</v>
      </c>
      <c r="D143" s="85" t="str">
        <f t="shared" si="15"/>
        <v>(1.4,1.640)</v>
      </c>
      <c r="K143" t="s">
        <v>509</v>
      </c>
      <c r="L143" s="61" t="str">
        <f>"y = " &amp; effect_lookups!L142 &amp; "*x^2 + " &amp; effect_lookups!M142 &amp; "*x + " &amp; effect_lookups!N142</f>
        <v>y = 1*x^2 + 0*x + 0</v>
      </c>
      <c r="O143" s="66"/>
    </row>
    <row r="144" spans="2:28" x14ac:dyDescent="0.4">
      <c r="B144" s="80">
        <f t="shared" si="17"/>
        <v>1.5999999999999999</v>
      </c>
      <c r="C144" s="17">
        <f>C143+(C139-C138)</f>
        <v>1.8399999999999999</v>
      </c>
      <c r="D144" s="85" t="str">
        <f t="shared" si="15"/>
        <v>(1.6,1.840)</v>
      </c>
      <c r="O144" s="66"/>
    </row>
    <row r="145" spans="2:28" x14ac:dyDescent="0.4">
      <c r="B145" s="80">
        <f t="shared" si="17"/>
        <v>1.7999999999999998</v>
      </c>
      <c r="C145" s="17">
        <f>C144+(C138-C137)</f>
        <v>1.96</v>
      </c>
      <c r="D145" s="85" t="str">
        <f t="shared" si="15"/>
        <v>(1.8,1.960)</v>
      </c>
      <c r="O145" s="66"/>
    </row>
    <row r="146" spans="2:28" x14ac:dyDescent="0.4">
      <c r="B146" s="80">
        <f t="shared" si="17"/>
        <v>1.9999999999999998</v>
      </c>
      <c r="C146" s="17">
        <f>C145+(C137-C136)</f>
        <v>2</v>
      </c>
      <c r="D146" s="85" t="str">
        <f t="shared" si="15"/>
        <v>(2,2.000)</v>
      </c>
      <c r="O146" s="66"/>
    </row>
    <row r="147" spans="2:28" x14ac:dyDescent="0.4">
      <c r="B147" s="80">
        <v>6</v>
      </c>
      <c r="C147" s="17">
        <f>C146</f>
        <v>2</v>
      </c>
      <c r="D147" s="85" t="str">
        <f t="shared" si="15"/>
        <v>(6,2.000)</v>
      </c>
      <c r="O147" s="66"/>
    </row>
    <row r="148" spans="2:28" x14ac:dyDescent="0.4">
      <c r="B148" s="80" t="s">
        <v>510</v>
      </c>
      <c r="C148" s="84" t="str">
        <f>_xlfn.TEXTJOIN(",",TRUE,D136:D147)</f>
        <v>(0,0.000),(0.2,0.040),(0.4,0.160),(0.6,0.360),(0.8,0.640),(1,1.000),(1.2,1.360),(1.4,1.640),(1.6,1.840),(1.8,1.960),(2,2.000),(6,2.000)</v>
      </c>
      <c r="O148" s="66"/>
    </row>
    <row r="149" spans="2:28" x14ac:dyDescent="0.4">
      <c r="B149" s="80" t="s">
        <v>500</v>
      </c>
      <c r="C149" s="28" t="s">
        <v>620</v>
      </c>
      <c r="D149" s="28"/>
      <c r="E149" s="28"/>
      <c r="F149" s="28"/>
      <c r="G149" s="28"/>
      <c r="H149" s="28"/>
      <c r="I149" s="28"/>
      <c r="J149" s="28"/>
      <c r="K149" s="28"/>
      <c r="L149" s="28"/>
      <c r="M149" s="28"/>
      <c r="N149" s="28"/>
      <c r="O149" s="88"/>
    </row>
    <row r="150" spans="2:28" ht="15" thickBot="1" x14ac:dyDescent="0.45">
      <c r="B150" s="83"/>
      <c r="C150" s="67"/>
      <c r="D150" s="67"/>
      <c r="E150" s="67"/>
      <c r="F150" s="67"/>
      <c r="G150" s="67"/>
      <c r="H150" s="67"/>
      <c r="I150" s="67"/>
      <c r="J150" s="67"/>
      <c r="K150" s="67"/>
      <c r="L150" s="67"/>
      <c r="M150" s="67"/>
      <c r="N150" s="67"/>
      <c r="O150" s="68"/>
    </row>
    <row r="151" spans="2:28" x14ac:dyDescent="0.4">
      <c r="B151" s="86" t="s">
        <v>490</v>
      </c>
      <c r="C151" s="200" t="s">
        <v>617</v>
      </c>
      <c r="D151" s="200"/>
      <c r="E151" s="200"/>
      <c r="F151" s="200"/>
      <c r="G151" s="200"/>
      <c r="H151" s="200"/>
      <c r="I151" s="200"/>
      <c r="J151" s="200"/>
      <c r="K151" s="200"/>
      <c r="L151" s="200"/>
      <c r="M151" s="200"/>
      <c r="N151" s="200"/>
      <c r="O151" s="87"/>
    </row>
    <row r="152" spans="2:28" x14ac:dyDescent="0.4">
      <c r="B152" s="80" t="s">
        <v>489</v>
      </c>
      <c r="C152" t="s">
        <v>492</v>
      </c>
      <c r="O152" s="66"/>
    </row>
    <row r="153" spans="2:28" x14ac:dyDescent="0.4">
      <c r="B153" s="80" t="s">
        <v>491</v>
      </c>
      <c r="C153">
        <v>0.5</v>
      </c>
      <c r="D153" t="s">
        <v>618</v>
      </c>
      <c r="E153" s="61" t="s">
        <v>619</v>
      </c>
      <c r="O153" s="66"/>
    </row>
    <row r="154" spans="2:28" x14ac:dyDescent="0.4">
      <c r="B154" s="80" t="s">
        <v>493</v>
      </c>
      <c r="C154">
        <v>0.02</v>
      </c>
      <c r="D154" t="s">
        <v>53</v>
      </c>
      <c r="E154" s="61" t="s">
        <v>611</v>
      </c>
      <c r="O154" s="66"/>
    </row>
    <row r="155" spans="2:28" x14ac:dyDescent="0.4">
      <c r="B155" s="80" t="s">
        <v>496</v>
      </c>
      <c r="C155">
        <v>0</v>
      </c>
      <c r="D155" s="23">
        <v>0</v>
      </c>
      <c r="E155" t="s">
        <v>53</v>
      </c>
      <c r="F155" s="61" t="s">
        <v>612</v>
      </c>
      <c r="O155" s="66"/>
    </row>
    <row r="156" spans="2:28" x14ac:dyDescent="0.4">
      <c r="B156" s="80" t="s">
        <v>497</v>
      </c>
      <c r="C156">
        <v>1</v>
      </c>
      <c r="D156">
        <v>1</v>
      </c>
      <c r="E156" t="s">
        <v>53</v>
      </c>
      <c r="F156" s="61"/>
      <c r="O156" s="66"/>
    </row>
    <row r="157" spans="2:28" x14ac:dyDescent="0.4">
      <c r="B157" s="80" t="s">
        <v>585</v>
      </c>
      <c r="C157">
        <v>2</v>
      </c>
      <c r="D157">
        <v>2</v>
      </c>
      <c r="E157" t="s">
        <v>53</v>
      </c>
      <c r="F157" s="61" t="s">
        <v>613</v>
      </c>
      <c r="O157" s="66"/>
    </row>
    <row r="158" spans="2:28" x14ac:dyDescent="0.4">
      <c r="B158" s="80" t="s">
        <v>498</v>
      </c>
      <c r="C158" t="s">
        <v>614</v>
      </c>
      <c r="K158" t="s">
        <v>507</v>
      </c>
      <c r="O158" s="66"/>
    </row>
    <row r="159" spans="2:28" x14ac:dyDescent="0.4">
      <c r="B159" s="80" t="s">
        <v>616</v>
      </c>
      <c r="C159" t="s">
        <v>615</v>
      </c>
      <c r="L159" t="s">
        <v>226</v>
      </c>
      <c r="M159" t="s">
        <v>231</v>
      </c>
      <c r="N159" t="s">
        <v>96</v>
      </c>
      <c r="O159" s="66"/>
      <c r="R159" s="23"/>
      <c r="V159" s="17"/>
      <c r="W159" s="17"/>
      <c r="X159" s="17"/>
      <c r="Y159" s="17"/>
      <c r="Z159" s="17"/>
      <c r="AA159" s="17"/>
      <c r="AB159" s="17"/>
    </row>
    <row r="160" spans="2:28" x14ac:dyDescent="0.4">
      <c r="B160" s="80">
        <v>0</v>
      </c>
      <c r="C160" s="23">
        <f>D155</f>
        <v>0</v>
      </c>
      <c r="D160" s="85" t="str">
        <f>"("&amp;_xlfn.TEXTJOIN(",",TRUE,$B160,TEXT($C160,"0.000")&amp;")")</f>
        <v>(0,0.000)</v>
      </c>
      <c r="K160" t="s">
        <v>501</v>
      </c>
      <c r="L160">
        <v>0</v>
      </c>
      <c r="M160">
        <v>0</v>
      </c>
      <c r="N160">
        <v>0</v>
      </c>
      <c r="O160" s="66"/>
      <c r="Q160" s="17"/>
    </row>
    <row r="161" spans="2:17" x14ac:dyDescent="0.4">
      <c r="B161" s="80">
        <v>0.2</v>
      </c>
      <c r="C161" s="17">
        <f>$L$166*B161^2+$M$166*B161+$N$166</f>
        <v>4.0000000000000008E-2</v>
      </c>
      <c r="D161" s="85" t="str">
        <f t="shared" ref="D161:D170" si="18">"("&amp;_xlfn.TEXTJOIN(",",TRUE,$B161,TEXT($C161,"0.000")&amp;")")</f>
        <v>(0.2,0.040)</v>
      </c>
      <c r="K161" t="s">
        <v>502</v>
      </c>
      <c r="L161">
        <v>1</v>
      </c>
      <c r="M161">
        <f>D156</f>
        <v>1</v>
      </c>
      <c r="N161">
        <v>2</v>
      </c>
      <c r="O161" s="66"/>
    </row>
    <row r="162" spans="2:17" x14ac:dyDescent="0.4">
      <c r="B162" s="80">
        <f>B161+0.2</f>
        <v>0.4</v>
      </c>
      <c r="C162" s="17">
        <f t="shared" ref="C162:C165" si="19">$L$166*B162^2+$M$166*B162+$N$166</f>
        <v>0.16000000000000003</v>
      </c>
      <c r="D162" s="85" t="str">
        <f t="shared" si="18"/>
        <v>(0.4,0.160)</v>
      </c>
      <c r="O162" s="66"/>
    </row>
    <row r="163" spans="2:17" x14ac:dyDescent="0.4">
      <c r="B163" s="80">
        <f t="shared" ref="B163:B170" si="20">B162+0.2</f>
        <v>0.60000000000000009</v>
      </c>
      <c r="C163" s="17">
        <f t="shared" si="19"/>
        <v>0.3600000000000001</v>
      </c>
      <c r="D163" s="85" t="str">
        <f t="shared" si="18"/>
        <v>(0.6,0.360)</v>
      </c>
      <c r="O163" s="66"/>
    </row>
    <row r="164" spans="2:17" x14ac:dyDescent="0.4">
      <c r="B164" s="80">
        <f t="shared" si="20"/>
        <v>0.8</v>
      </c>
      <c r="C164" s="17">
        <f t="shared" si="19"/>
        <v>0.64000000000000012</v>
      </c>
      <c r="D164" s="85" t="str">
        <f t="shared" si="18"/>
        <v>(0.8,0.640)</v>
      </c>
      <c r="K164" t="s">
        <v>503</v>
      </c>
      <c r="O164" s="66"/>
    </row>
    <row r="165" spans="2:17" x14ac:dyDescent="0.4">
      <c r="B165" s="80">
        <f t="shared" si="20"/>
        <v>1</v>
      </c>
      <c r="C165" s="17">
        <f t="shared" si="19"/>
        <v>1</v>
      </c>
      <c r="D165" s="85" t="str">
        <f t="shared" si="18"/>
        <v>(1,1.000)</v>
      </c>
      <c r="L165" t="s">
        <v>504</v>
      </c>
      <c r="M165" t="s">
        <v>505</v>
      </c>
      <c r="N165" t="s">
        <v>506</v>
      </c>
      <c r="O165" s="66"/>
    </row>
    <row r="166" spans="2:17" x14ac:dyDescent="0.4">
      <c r="B166" s="80">
        <f t="shared" si="20"/>
        <v>1.2</v>
      </c>
      <c r="C166" s="17">
        <f>C165+(C165-C164)</f>
        <v>1.3599999999999999</v>
      </c>
      <c r="D166" s="85" t="str">
        <f t="shared" si="18"/>
        <v>(1.2,1.360)</v>
      </c>
      <c r="K166" t="s">
        <v>508</v>
      </c>
      <c r="L166">
        <f xml:space="preserve"> ( (M160 - M161) - (N160 * (L160 - L161)) ) / ((L160^2 - L161^2) - 2*L160*L161*(L160 - L161))</f>
        <v>1</v>
      </c>
      <c r="M166">
        <f xml:space="preserve"> 2 * L160 * L166 + N160</f>
        <v>0</v>
      </c>
      <c r="N166">
        <f xml:space="preserve"> M160 - L160^2 * L166 - L160 * M166</f>
        <v>0</v>
      </c>
      <c r="O166" s="66"/>
      <c r="Q166" s="17"/>
    </row>
    <row r="167" spans="2:17" x14ac:dyDescent="0.4">
      <c r="B167" s="80">
        <f t="shared" si="20"/>
        <v>1.4</v>
      </c>
      <c r="C167" s="17">
        <f>C166+(C164-C163)</f>
        <v>1.64</v>
      </c>
      <c r="D167" s="85" t="str">
        <f t="shared" si="18"/>
        <v>(1.4,1.640)</v>
      </c>
      <c r="K167" t="s">
        <v>509</v>
      </c>
      <c r="L167" s="61" t="str">
        <f>"y = " &amp; effect_lookups!L166 &amp; "*x^2 + " &amp; effect_lookups!M166 &amp; "*x + " &amp; effect_lookups!N166</f>
        <v>y = 1*x^2 + 0*x + 0</v>
      </c>
      <c r="O167" s="66"/>
    </row>
    <row r="168" spans="2:17" x14ac:dyDescent="0.4">
      <c r="B168" s="80">
        <f t="shared" si="20"/>
        <v>1.5999999999999999</v>
      </c>
      <c r="C168" s="17">
        <f>C167+(C163-C162)</f>
        <v>1.8399999999999999</v>
      </c>
      <c r="D168" s="85" t="str">
        <f t="shared" si="18"/>
        <v>(1.6,1.840)</v>
      </c>
      <c r="O168" s="66"/>
    </row>
    <row r="169" spans="2:17" x14ac:dyDescent="0.4">
      <c r="B169" s="80">
        <f t="shared" si="20"/>
        <v>1.7999999999999998</v>
      </c>
      <c r="C169" s="17">
        <f>C168+C162-C161</f>
        <v>1.96</v>
      </c>
      <c r="D169" s="85" t="str">
        <f t="shared" si="18"/>
        <v>(1.8,1.960)</v>
      </c>
      <c r="O169" s="66"/>
    </row>
    <row r="170" spans="2:17" x14ac:dyDescent="0.4">
      <c r="B170" s="80">
        <f t="shared" si="20"/>
        <v>1.9999999999999998</v>
      </c>
      <c r="C170" s="17">
        <f>C169+C161-C160</f>
        <v>2</v>
      </c>
      <c r="D170" s="85" t="str">
        <f t="shared" si="18"/>
        <v>(2,2.000)</v>
      </c>
      <c r="O170" s="66"/>
    </row>
    <row r="171" spans="2:17" x14ac:dyDescent="0.4">
      <c r="B171" s="80" t="s">
        <v>510</v>
      </c>
      <c r="C171" s="84" t="str">
        <f>_xlfn.TEXTJOIN(",",TRUE,D160:D170)</f>
        <v>(0,0.000),(0.2,0.040),(0.4,0.160),(0.6,0.360),(0.8,0.640),(1,1.000),(1.2,1.360),(1.4,1.640),(1.6,1.840),(1.8,1.960),(2,2.000)</v>
      </c>
      <c r="O171" s="66"/>
    </row>
    <row r="172" spans="2:17" x14ac:dyDescent="0.4">
      <c r="B172" s="80" t="s">
        <v>500</v>
      </c>
      <c r="C172" s="28" t="s">
        <v>620</v>
      </c>
      <c r="D172" s="28"/>
      <c r="E172" s="28"/>
      <c r="F172" s="28"/>
      <c r="G172" s="28"/>
      <c r="H172" s="28"/>
      <c r="I172" s="28"/>
      <c r="J172" s="28"/>
      <c r="K172" s="28"/>
      <c r="L172" s="28"/>
      <c r="M172" s="28"/>
      <c r="N172" s="28"/>
      <c r="O172" s="88"/>
    </row>
    <row r="173" spans="2:17" ht="15" thickBot="1" x14ac:dyDescent="0.45">
      <c r="B173" s="83"/>
      <c r="C173" s="67"/>
      <c r="D173" s="67"/>
      <c r="E173" s="67"/>
      <c r="F173" s="67"/>
      <c r="G173" s="67"/>
      <c r="H173" s="67"/>
      <c r="I173" s="67"/>
      <c r="J173" s="67"/>
      <c r="K173" s="67"/>
      <c r="L173" s="67"/>
      <c r="M173" s="67"/>
      <c r="N173" s="67"/>
      <c r="O173" s="68"/>
    </row>
    <row r="174" spans="2:17" x14ac:dyDescent="0.4">
      <c r="B174" s="86" t="s">
        <v>490</v>
      </c>
      <c r="C174" s="200" t="s">
        <v>621</v>
      </c>
      <c r="D174" s="200"/>
      <c r="E174" s="200"/>
      <c r="F174" s="200"/>
      <c r="G174" s="200"/>
      <c r="H174" s="200"/>
      <c r="I174" s="200"/>
      <c r="J174" s="200"/>
      <c r="K174" s="200"/>
      <c r="L174" s="200"/>
      <c r="M174" s="200"/>
      <c r="N174" s="200"/>
      <c r="O174" s="87"/>
    </row>
    <row r="175" spans="2:17" x14ac:dyDescent="0.4">
      <c r="B175" s="80" t="s">
        <v>489</v>
      </c>
      <c r="C175" t="s">
        <v>492</v>
      </c>
      <c r="O175" s="66"/>
    </row>
    <row r="176" spans="2:17" x14ac:dyDescent="0.4">
      <c r="B176" s="80" t="s">
        <v>491</v>
      </c>
      <c r="C176">
        <v>9.6</v>
      </c>
      <c r="D176" t="s">
        <v>623</v>
      </c>
      <c r="E176" s="61" t="s">
        <v>624</v>
      </c>
      <c r="O176" s="66"/>
    </row>
    <row r="177" spans="2:28" x14ac:dyDescent="0.4">
      <c r="B177" s="80" t="s">
        <v>493</v>
      </c>
      <c r="C177">
        <v>5</v>
      </c>
      <c r="D177" t="s">
        <v>495</v>
      </c>
      <c r="E177" s="61" t="s">
        <v>622</v>
      </c>
      <c r="O177" s="66"/>
    </row>
    <row r="178" spans="2:28" x14ac:dyDescent="0.4">
      <c r="B178" s="80" t="s">
        <v>496</v>
      </c>
      <c r="C178">
        <v>0</v>
      </c>
      <c r="D178">
        <v>4</v>
      </c>
      <c r="E178" t="s">
        <v>53</v>
      </c>
      <c r="F178" s="61" t="s">
        <v>626</v>
      </c>
      <c r="O178" s="66"/>
    </row>
    <row r="179" spans="2:28" x14ac:dyDescent="0.4">
      <c r="B179" s="80" t="s">
        <v>497</v>
      </c>
      <c r="C179">
        <v>1</v>
      </c>
      <c r="D179">
        <v>1</v>
      </c>
      <c r="E179" t="s">
        <v>53</v>
      </c>
      <c r="O179" s="66"/>
    </row>
    <row r="180" spans="2:28" x14ac:dyDescent="0.4">
      <c r="B180" s="80" t="s">
        <v>585</v>
      </c>
      <c r="C180">
        <v>2</v>
      </c>
      <c r="D180">
        <v>0.5</v>
      </c>
      <c r="E180" t="s">
        <v>53</v>
      </c>
      <c r="F180" s="61" t="s">
        <v>625</v>
      </c>
      <c r="O180" s="66"/>
    </row>
    <row r="181" spans="2:28" x14ac:dyDescent="0.4">
      <c r="B181" s="80" t="s">
        <v>498</v>
      </c>
      <c r="C181" t="s">
        <v>627</v>
      </c>
      <c r="K181" t="s">
        <v>507</v>
      </c>
      <c r="O181" s="66"/>
    </row>
    <row r="182" spans="2:28" x14ac:dyDescent="0.4">
      <c r="B182" s="80" t="s">
        <v>629</v>
      </c>
      <c r="C182" t="s">
        <v>628</v>
      </c>
      <c r="L182" t="s">
        <v>226</v>
      </c>
      <c r="M182" t="s">
        <v>231</v>
      </c>
      <c r="N182" t="s">
        <v>96</v>
      </c>
      <c r="O182" s="66"/>
      <c r="R182" s="23"/>
      <c r="V182" s="17"/>
      <c r="W182" s="17"/>
      <c r="X182" s="17"/>
      <c r="Y182" s="17"/>
      <c r="Z182" s="17"/>
      <c r="AA182" s="17"/>
      <c r="AB182" s="17"/>
    </row>
    <row r="183" spans="2:28" x14ac:dyDescent="0.4">
      <c r="B183" s="80">
        <v>0</v>
      </c>
      <c r="C183" s="23">
        <f>D178</f>
        <v>4</v>
      </c>
      <c r="D183" s="85" t="str">
        <f>"("&amp;_xlfn.TEXTJOIN(",",TRUE,$B183,TEXT($C183,"0.000")&amp;")")</f>
        <v>(0,4.000)</v>
      </c>
      <c r="K183" t="s">
        <v>501</v>
      </c>
      <c r="L183">
        <v>0</v>
      </c>
      <c r="M183">
        <v>4</v>
      </c>
      <c r="N183">
        <v>0</v>
      </c>
      <c r="O183" s="66"/>
      <c r="Q183" s="17"/>
    </row>
    <row r="184" spans="2:28" x14ac:dyDescent="0.4">
      <c r="B184" s="80">
        <v>0.2</v>
      </c>
      <c r="C184" s="17">
        <f>$L$189*B184^2+$M$189*B184+$N$189</f>
        <v>3.88</v>
      </c>
      <c r="D184" s="85" t="str">
        <f t="shared" ref="D184:D193" si="21">"("&amp;_xlfn.TEXTJOIN(",",TRUE,$B184,TEXT($C184,"0.000")&amp;")")</f>
        <v>(0.2,3.880)</v>
      </c>
      <c r="K184" t="s">
        <v>502</v>
      </c>
      <c r="L184">
        <v>1</v>
      </c>
      <c r="M184">
        <v>1</v>
      </c>
      <c r="N184">
        <v>2</v>
      </c>
      <c r="O184" s="66"/>
    </row>
    <row r="185" spans="2:28" x14ac:dyDescent="0.4">
      <c r="B185" s="80">
        <f>B184+0.2</f>
        <v>0.4</v>
      </c>
      <c r="C185" s="17">
        <f>$L$189*B185^2+$M$189*B185+$N$189</f>
        <v>3.52</v>
      </c>
      <c r="D185" s="85" t="str">
        <f t="shared" si="21"/>
        <v>(0.4,3.520)</v>
      </c>
      <c r="O185" s="66"/>
    </row>
    <row r="186" spans="2:28" x14ac:dyDescent="0.4">
      <c r="B186" s="80">
        <f t="shared" ref="B186:B193" si="22">B185+0.2</f>
        <v>0.60000000000000009</v>
      </c>
      <c r="C186" s="17">
        <f>$L$189*B186^2+$M$189*B186+$N$189</f>
        <v>2.92</v>
      </c>
      <c r="D186" s="85" t="str">
        <f t="shared" si="21"/>
        <v>(0.6,2.920)</v>
      </c>
      <c r="O186" s="66"/>
    </row>
    <row r="187" spans="2:28" x14ac:dyDescent="0.4">
      <c r="B187" s="80">
        <f t="shared" si="22"/>
        <v>0.8</v>
      </c>
      <c r="C187" s="17">
        <f>$L$189*B187^2+$M$189*B187+$N$189</f>
        <v>2.0799999999999996</v>
      </c>
      <c r="D187" s="85" t="str">
        <f t="shared" si="21"/>
        <v>(0.8,2.080)</v>
      </c>
      <c r="K187" t="s">
        <v>503</v>
      </c>
      <c r="O187" s="66"/>
    </row>
    <row r="188" spans="2:28" x14ac:dyDescent="0.4">
      <c r="B188" s="80">
        <f t="shared" si="22"/>
        <v>1</v>
      </c>
      <c r="C188" s="17">
        <f>$L$189*B188^2+$M$189*B188+$N$189</f>
        <v>1</v>
      </c>
      <c r="D188" s="85" t="str">
        <f t="shared" si="21"/>
        <v>(1,1.000)</v>
      </c>
      <c r="L188" t="s">
        <v>504</v>
      </c>
      <c r="M188" t="s">
        <v>505</v>
      </c>
      <c r="N188" t="s">
        <v>506</v>
      </c>
      <c r="O188" s="66"/>
    </row>
    <row r="189" spans="2:28" x14ac:dyDescent="0.4">
      <c r="B189" s="80">
        <f t="shared" si="22"/>
        <v>1.2</v>
      </c>
      <c r="C189" s="17">
        <f>C188+(C188-C187)/$L$192</f>
        <v>0.82000000000000006</v>
      </c>
      <c r="D189" s="85" t="str">
        <f t="shared" si="21"/>
        <v>(1.2,0.820)</v>
      </c>
      <c r="K189" t="s">
        <v>508</v>
      </c>
      <c r="L189">
        <f xml:space="preserve"> ( (M183 - M184) - (N183 * (L183 - L184)) ) / ((L183^2 - L184^2) - 2*L183*L184*(L183 - L184))</f>
        <v>-3</v>
      </c>
      <c r="M189">
        <f xml:space="preserve"> 2 * L183 * L189 + N183</f>
        <v>0</v>
      </c>
      <c r="N189">
        <f xml:space="preserve"> M183 - L183^2 * L189 - L183 * M189</f>
        <v>4</v>
      </c>
      <c r="O189" s="66"/>
      <c r="Q189" s="17"/>
    </row>
    <row r="190" spans="2:28" x14ac:dyDescent="0.4">
      <c r="B190" s="80">
        <f t="shared" si="22"/>
        <v>1.4</v>
      </c>
      <c r="C190" s="17">
        <f>C189+(C187-C186)/$L$192</f>
        <v>0.68</v>
      </c>
      <c r="D190" s="85" t="str">
        <f t="shared" si="21"/>
        <v>(1.4,0.680)</v>
      </c>
      <c r="K190" t="s">
        <v>509</v>
      </c>
      <c r="L190" s="61" t="str">
        <f>"y = " &amp; effect_lookups!L189 &amp; "*x^2 + " &amp; effect_lookups!M189 &amp; "*x + " &amp; effect_lookups!N189</f>
        <v>y = -3*x^2 + 0*x + 4</v>
      </c>
      <c r="O190" s="66"/>
    </row>
    <row r="191" spans="2:28" x14ac:dyDescent="0.4">
      <c r="B191" s="80">
        <f t="shared" si="22"/>
        <v>1.5999999999999999</v>
      </c>
      <c r="C191" s="17">
        <f>C190+(C186-C185)/$L$192</f>
        <v>0.58000000000000007</v>
      </c>
      <c r="D191" s="85" t="str">
        <f t="shared" si="21"/>
        <v>(1.6,0.580)</v>
      </c>
      <c r="O191" s="66"/>
    </row>
    <row r="192" spans="2:28" x14ac:dyDescent="0.4">
      <c r="B192" s="80">
        <f t="shared" si="22"/>
        <v>1.7999999999999998</v>
      </c>
      <c r="C192" s="17">
        <f>C191+(C185-C184)/$L$192</f>
        <v>0.52000000000000013</v>
      </c>
      <c r="D192" s="85" t="str">
        <f t="shared" si="21"/>
        <v>(1.8,0.520)</v>
      </c>
      <c r="K192" t="s">
        <v>912</v>
      </c>
      <c r="L192">
        <v>6</v>
      </c>
      <c r="O192" s="66"/>
    </row>
    <row r="193" spans="2:15" x14ac:dyDescent="0.4">
      <c r="B193" s="80">
        <f t="shared" si="22"/>
        <v>1.9999999999999998</v>
      </c>
      <c r="C193" s="17">
        <f>C192+(C184-C183)/$L$192</f>
        <v>0.50000000000000011</v>
      </c>
      <c r="D193" s="85" t="str">
        <f t="shared" si="21"/>
        <v>(2,0.500)</v>
      </c>
      <c r="O193" s="66"/>
    </row>
    <row r="194" spans="2:15" x14ac:dyDescent="0.4">
      <c r="B194" s="80" t="s">
        <v>510</v>
      </c>
      <c r="C194" s="84" t="str">
        <f>_xlfn.TEXTJOIN(",",TRUE,D183:D193)</f>
        <v>(0,4.000),(0.2,3.880),(0.4,3.520),(0.6,2.920),(0.8,2.080),(1,1.000),(1.2,0.820),(1.4,0.680),(1.6,0.580),(1.8,0.520),(2,0.500)</v>
      </c>
      <c r="O194" s="66"/>
    </row>
    <row r="195" spans="2:15" x14ac:dyDescent="0.4">
      <c r="B195" s="80" t="s">
        <v>500</v>
      </c>
      <c r="C195" s="28" t="s">
        <v>620</v>
      </c>
      <c r="D195" s="28"/>
      <c r="E195" s="28"/>
      <c r="F195" s="28"/>
      <c r="G195" s="28"/>
      <c r="H195" s="28"/>
      <c r="I195" s="28"/>
      <c r="J195" s="28"/>
      <c r="K195" s="28"/>
      <c r="L195" s="28"/>
      <c r="M195" s="28"/>
      <c r="N195" s="28"/>
      <c r="O195" s="88"/>
    </row>
    <row r="196" spans="2:15" ht="15" thickBot="1" x14ac:dyDescent="0.45">
      <c r="B196" s="83"/>
      <c r="C196" s="67"/>
      <c r="D196" s="67"/>
      <c r="E196" s="67"/>
      <c r="F196" s="67"/>
      <c r="G196" s="67"/>
      <c r="H196" s="67"/>
      <c r="I196" s="67"/>
      <c r="J196" s="67"/>
      <c r="K196" s="67"/>
      <c r="L196" s="67"/>
      <c r="M196" s="67"/>
      <c r="N196" s="67"/>
      <c r="O196" s="68"/>
    </row>
    <row r="197" spans="2:15" x14ac:dyDescent="0.4">
      <c r="B197" s="86" t="s">
        <v>490</v>
      </c>
      <c r="C197" s="200" t="s">
        <v>940</v>
      </c>
      <c r="D197" s="200"/>
      <c r="E197" s="200"/>
      <c r="F197" s="200"/>
      <c r="G197" s="200"/>
      <c r="H197" s="200"/>
      <c r="I197" s="200"/>
      <c r="J197" s="200"/>
      <c r="K197" s="200"/>
      <c r="L197" s="200"/>
      <c r="M197" s="200"/>
      <c r="N197" s="200"/>
      <c r="O197" s="87"/>
    </row>
    <row r="198" spans="2:15" x14ac:dyDescent="0.4">
      <c r="B198" s="80" t="s">
        <v>489</v>
      </c>
      <c r="C198" t="s">
        <v>492</v>
      </c>
      <c r="O198" s="66"/>
    </row>
    <row r="199" spans="2:15" x14ac:dyDescent="0.4">
      <c r="B199" s="80" t="s">
        <v>491</v>
      </c>
      <c r="C199">
        <v>0.27100000000000002</v>
      </c>
      <c r="D199" t="s">
        <v>53</v>
      </c>
      <c r="E199" s="61" t="s">
        <v>942</v>
      </c>
      <c r="O199" s="66"/>
    </row>
    <row r="200" spans="2:15" x14ac:dyDescent="0.4">
      <c r="B200" s="80" t="s">
        <v>493</v>
      </c>
      <c r="C200">
        <v>0.03</v>
      </c>
      <c r="D200" t="s">
        <v>228</v>
      </c>
      <c r="E200" s="61" t="s">
        <v>941</v>
      </c>
      <c r="O200" s="66"/>
    </row>
    <row r="201" spans="2:15" x14ac:dyDescent="0.4">
      <c r="B201" s="80" t="s">
        <v>496</v>
      </c>
      <c r="C201">
        <v>0</v>
      </c>
      <c r="D201" s="23">
        <f>0.02/C200</f>
        <v>0.66666666666666674</v>
      </c>
      <c r="E201" t="s">
        <v>53</v>
      </c>
      <c r="F201" s="61" t="s">
        <v>945</v>
      </c>
      <c r="O201" s="66"/>
    </row>
    <row r="202" spans="2:15" x14ac:dyDescent="0.4">
      <c r="B202" s="80" t="s">
        <v>497</v>
      </c>
      <c r="C202">
        <v>1</v>
      </c>
      <c r="D202">
        <v>1</v>
      </c>
      <c r="E202" t="s">
        <v>53</v>
      </c>
      <c r="O202" s="66"/>
    </row>
    <row r="203" spans="2:15" x14ac:dyDescent="0.4">
      <c r="B203" s="80" t="s">
        <v>585</v>
      </c>
      <c r="C203" s="23">
        <f>0.5/C199</f>
        <v>1.8450184501845017</v>
      </c>
      <c r="D203">
        <v>1.33</v>
      </c>
      <c r="E203" t="s">
        <v>53</v>
      </c>
      <c r="F203" s="61" t="s">
        <v>946</v>
      </c>
      <c r="O203" s="66"/>
    </row>
    <row r="204" spans="2:15" x14ac:dyDescent="0.4">
      <c r="B204" s="80" t="s">
        <v>498</v>
      </c>
      <c r="C204" t="s">
        <v>627</v>
      </c>
      <c r="K204" t="s">
        <v>507</v>
      </c>
      <c r="O204" s="66"/>
    </row>
    <row r="205" spans="2:15" x14ac:dyDescent="0.4">
      <c r="B205" s="80" t="s">
        <v>943</v>
      </c>
      <c r="C205" t="s">
        <v>944</v>
      </c>
      <c r="L205" t="s">
        <v>226</v>
      </c>
      <c r="M205" t="s">
        <v>231</v>
      </c>
      <c r="N205" t="s">
        <v>96</v>
      </c>
      <c r="O205" s="66"/>
    </row>
    <row r="206" spans="2:15" x14ac:dyDescent="0.4">
      <c r="B206" s="80">
        <v>0</v>
      </c>
      <c r="C206" s="23">
        <f>D201</f>
        <v>0.66666666666666674</v>
      </c>
      <c r="D206" s="85" t="str">
        <f>"("&amp;_xlfn.TEXTJOIN(",",TRUE,$B206,TEXT($C206,"0.000")&amp;")")</f>
        <v>(0,0.667)</v>
      </c>
      <c r="K206" t="s">
        <v>501</v>
      </c>
      <c r="L206">
        <v>0</v>
      </c>
      <c r="M206" s="23">
        <f>D201</f>
        <v>0.66666666666666674</v>
      </c>
      <c r="N206">
        <v>0</v>
      </c>
      <c r="O206" s="66"/>
    </row>
    <row r="207" spans="2:15" x14ac:dyDescent="0.4">
      <c r="B207" s="80">
        <v>0.2</v>
      </c>
      <c r="C207" s="17">
        <f>$L$212*B207^2+$M$212*B207+$N$212</f>
        <v>0.68</v>
      </c>
      <c r="D207" s="85" t="str">
        <f t="shared" ref="D207:D217" si="23">"("&amp;_xlfn.TEXTJOIN(",",TRUE,$B207,TEXT($C207,"0.000")&amp;")")</f>
        <v>(0.2,0.680)</v>
      </c>
      <c r="K207" t="s">
        <v>502</v>
      </c>
      <c r="L207">
        <v>1</v>
      </c>
      <c r="M207">
        <v>1</v>
      </c>
      <c r="N207">
        <v>2</v>
      </c>
      <c r="O207" s="66"/>
    </row>
    <row r="208" spans="2:15" x14ac:dyDescent="0.4">
      <c r="B208" s="80">
        <f>B207+0.2</f>
        <v>0.4</v>
      </c>
      <c r="C208" s="17">
        <f t="shared" ref="C208:C211" si="24">$L$212*B208^2+$M$212*B208+$N$212</f>
        <v>0.72000000000000008</v>
      </c>
      <c r="D208" s="85" t="str">
        <f t="shared" si="23"/>
        <v>(0.4,0.720)</v>
      </c>
      <c r="O208" s="66"/>
    </row>
    <row r="209" spans="2:15" x14ac:dyDescent="0.4">
      <c r="B209" s="80">
        <f t="shared" ref="B209:B211" si="25">B208+0.2</f>
        <v>0.60000000000000009</v>
      </c>
      <c r="C209" s="17">
        <f t="shared" si="24"/>
        <v>0.78666666666666674</v>
      </c>
      <c r="D209" s="85" t="str">
        <f t="shared" si="23"/>
        <v>(0.6,0.787)</v>
      </c>
      <c r="O209" s="66"/>
    </row>
    <row r="210" spans="2:15" x14ac:dyDescent="0.4">
      <c r="B210" s="80">
        <f t="shared" si="25"/>
        <v>0.8</v>
      </c>
      <c r="C210" s="17">
        <f t="shared" si="24"/>
        <v>0.88000000000000012</v>
      </c>
      <c r="D210" s="85" t="str">
        <f t="shared" si="23"/>
        <v>(0.8,0.880)</v>
      </c>
      <c r="K210" t="s">
        <v>503</v>
      </c>
      <c r="O210" s="66"/>
    </row>
    <row r="211" spans="2:15" x14ac:dyDescent="0.4">
      <c r="B211" s="80">
        <f t="shared" si="25"/>
        <v>1</v>
      </c>
      <c r="C211" s="17">
        <f t="shared" si="24"/>
        <v>1</v>
      </c>
      <c r="D211" s="85" t="str">
        <f t="shared" si="23"/>
        <v>(1,1.000)</v>
      </c>
      <c r="L211" t="s">
        <v>504</v>
      </c>
      <c r="M211" t="s">
        <v>505</v>
      </c>
      <c r="N211" t="s">
        <v>506</v>
      </c>
      <c r="O211" s="66"/>
    </row>
    <row r="212" spans="2:15" x14ac:dyDescent="0.4">
      <c r="B212" s="90">
        <f>ROUND(B211+($B$216-$B$211)/5,3)</f>
        <v>1.169</v>
      </c>
      <c r="C212" s="17">
        <f>C211+(C211-C210)/$L$215</f>
        <v>1.1199999999999999</v>
      </c>
      <c r="D212" s="85" t="str">
        <f t="shared" si="23"/>
        <v>(1.169,1.120)</v>
      </c>
      <c r="K212" t="s">
        <v>508</v>
      </c>
      <c r="L212">
        <f xml:space="preserve"> ( (M206 - M207) - (N206 * (L206 - L207)) ) / ((L206^2 - L207^2) - 2*L206*L207*(L206 - L207))</f>
        <v>0.33333333333333326</v>
      </c>
      <c r="M212">
        <f xml:space="preserve"> 2 * L206 * L212 + N206</f>
        <v>0</v>
      </c>
      <c r="N212">
        <f xml:space="preserve"> M206 - L206^2 * L212 - L206 * M212</f>
        <v>0.66666666666666674</v>
      </c>
      <c r="O212" s="66"/>
    </row>
    <row r="213" spans="2:15" x14ac:dyDescent="0.4">
      <c r="B213" s="90">
        <f>ROUND(B212+($B$216-$B$211)/5,3)</f>
        <v>1.3380000000000001</v>
      </c>
      <c r="C213" s="17">
        <f>C212+(C210-C209)/$L$215</f>
        <v>1.2133333333333334</v>
      </c>
      <c r="D213" s="85" t="str">
        <f t="shared" si="23"/>
        <v>(1.338,1.213)</v>
      </c>
      <c r="K213" t="s">
        <v>509</v>
      </c>
      <c r="L213" s="61" t="str">
        <f>"y = " &amp; effect_lookups!L212 &amp; "*x^2 + " &amp; effect_lookups!M212 &amp; "*x + " &amp; effect_lookups!N212</f>
        <v>y = 0.333333333333333*x^2 + 0*x + 0.666666666666667</v>
      </c>
      <c r="O213" s="66"/>
    </row>
    <row r="214" spans="2:15" x14ac:dyDescent="0.4">
      <c r="B214" s="90">
        <f>ROUND(B213+($B$216-$B$211)/5,3)</f>
        <v>1.5069999999999999</v>
      </c>
      <c r="C214" s="17">
        <f>C213+(C209-C208)/$L$215</f>
        <v>1.28</v>
      </c>
      <c r="D214" s="85" t="str">
        <f t="shared" si="23"/>
        <v>(1.507,1.280)</v>
      </c>
      <c r="O214" s="66"/>
    </row>
    <row r="215" spans="2:15" x14ac:dyDescent="0.4">
      <c r="B215" s="90">
        <f>ROUND(B214+($B$216-$B$211)/5,3)</f>
        <v>1.6759999999999999</v>
      </c>
      <c r="C215" s="17">
        <f>C214+(C208-C207)/$L$215</f>
        <v>1.32</v>
      </c>
      <c r="D215" s="85" t="str">
        <f t="shared" si="23"/>
        <v>(1.676,1.320)</v>
      </c>
      <c r="K215" t="s">
        <v>912</v>
      </c>
      <c r="L215" s="117">
        <v>1</v>
      </c>
      <c r="O215" s="66"/>
    </row>
    <row r="216" spans="2:15" x14ac:dyDescent="0.4">
      <c r="B216" s="90">
        <f>ROUND(C203,3)</f>
        <v>1.845</v>
      </c>
      <c r="C216" s="17">
        <f>C215+(C207-C206)/$L$215</f>
        <v>1.3333333333333335</v>
      </c>
      <c r="D216" s="85" t="str">
        <f t="shared" si="23"/>
        <v>(1.845,1.333)</v>
      </c>
      <c r="O216" s="66"/>
    </row>
    <row r="217" spans="2:15" x14ac:dyDescent="0.4">
      <c r="B217" s="90">
        <f>ROUND(1/C199,3)</f>
        <v>3.69</v>
      </c>
      <c r="C217" s="17">
        <f>C216</f>
        <v>1.3333333333333335</v>
      </c>
      <c r="D217" s="85" t="str">
        <f t="shared" si="23"/>
        <v>(3.69,1.333)</v>
      </c>
      <c r="O217" s="66"/>
    </row>
    <row r="218" spans="2:15" x14ac:dyDescent="0.4">
      <c r="B218" s="80" t="s">
        <v>510</v>
      </c>
      <c r="C218" s="84" t="str">
        <f>_xlfn.TEXTJOIN(",",TRUE,D206:D217)</f>
        <v>(0,0.667),(0.2,0.680),(0.4,0.720),(0.6,0.787),(0.8,0.880),(1,1.000),(1.169,1.120),(1.338,1.213),(1.507,1.280),(1.676,1.320),(1.845,1.333),(3.69,1.333)</v>
      </c>
      <c r="O218" s="66"/>
    </row>
    <row r="219" spans="2:15" x14ac:dyDescent="0.4">
      <c r="B219" s="80" t="s">
        <v>500</v>
      </c>
      <c r="C219" s="28" t="s">
        <v>620</v>
      </c>
      <c r="D219" s="28"/>
      <c r="E219" s="28"/>
      <c r="F219" s="28"/>
      <c r="G219" s="28"/>
      <c r="H219" s="28"/>
      <c r="I219" s="28"/>
      <c r="J219" s="28"/>
      <c r="K219" s="28"/>
      <c r="L219" s="28"/>
      <c r="M219" s="28"/>
      <c r="N219" s="28"/>
      <c r="O219" s="88"/>
    </row>
    <row r="220" spans="2:15" ht="15" thickBot="1" x14ac:dyDescent="0.45">
      <c r="B220" s="83"/>
      <c r="C220" s="67"/>
      <c r="D220" s="67"/>
      <c r="E220" s="67"/>
      <c r="F220" s="67"/>
      <c r="G220" s="67"/>
      <c r="H220" s="67"/>
      <c r="I220" s="67"/>
      <c r="J220" s="67"/>
      <c r="K220" s="67"/>
      <c r="L220" s="67"/>
      <c r="M220" s="67"/>
      <c r="N220" s="67"/>
      <c r="O220" s="68"/>
    </row>
    <row r="221" spans="2:15" x14ac:dyDescent="0.4">
      <c r="B221" s="86" t="s">
        <v>490</v>
      </c>
      <c r="C221" s="94" t="s">
        <v>673</v>
      </c>
      <c r="D221" s="94"/>
      <c r="E221" s="94"/>
      <c r="F221" s="94"/>
      <c r="G221" s="94"/>
      <c r="H221" s="94"/>
      <c r="I221" s="94"/>
      <c r="J221" s="94"/>
      <c r="K221" s="94"/>
      <c r="L221" s="94"/>
      <c r="M221" s="94"/>
      <c r="N221" s="94"/>
      <c r="O221" s="87"/>
    </row>
    <row r="222" spans="2:15" x14ac:dyDescent="0.4">
      <c r="B222" s="80" t="s">
        <v>489</v>
      </c>
      <c r="C222" t="s">
        <v>492</v>
      </c>
      <c r="O222" s="66"/>
    </row>
    <row r="223" spans="2:15" x14ac:dyDescent="0.4">
      <c r="B223" s="80" t="s">
        <v>491</v>
      </c>
      <c r="C223">
        <v>1.8029999999999999</v>
      </c>
      <c r="D223" s="61" t="s">
        <v>978</v>
      </c>
      <c r="O223" s="66"/>
    </row>
    <row r="224" spans="2:15" x14ac:dyDescent="0.4">
      <c r="B224" s="80" t="s">
        <v>493</v>
      </c>
      <c r="C224">
        <v>11.381</v>
      </c>
      <c r="D224" s="61" t="s">
        <v>542</v>
      </c>
      <c r="O224" s="66"/>
    </row>
    <row r="225" spans="2:15" x14ac:dyDescent="0.4">
      <c r="B225" s="80" t="s">
        <v>514</v>
      </c>
      <c r="C225" s="16">
        <f>14/C224</f>
        <v>1.2301203760653721</v>
      </c>
      <c r="D225" s="61" t="s">
        <v>959</v>
      </c>
      <c r="O225" s="66"/>
    </row>
    <row r="226" spans="2:15" x14ac:dyDescent="0.4">
      <c r="B226" s="80" t="s">
        <v>497</v>
      </c>
      <c r="C226">
        <v>1</v>
      </c>
      <c r="D226" s="61" t="s">
        <v>544</v>
      </c>
      <c r="O226" s="66"/>
    </row>
    <row r="227" spans="2:15" x14ac:dyDescent="0.4">
      <c r="B227" s="80" t="s">
        <v>545</v>
      </c>
      <c r="C227" s="16">
        <f>4/C223</f>
        <v>2.2185246810870773</v>
      </c>
      <c r="D227" s="61" t="s">
        <v>979</v>
      </c>
      <c r="O227" s="66"/>
    </row>
    <row r="228" spans="2:15" x14ac:dyDescent="0.4">
      <c r="B228" s="80" t="s">
        <v>498</v>
      </c>
      <c r="C228" t="s">
        <v>546</v>
      </c>
      <c r="O228" s="66"/>
    </row>
    <row r="229" spans="2:15" x14ac:dyDescent="0.4">
      <c r="B229" s="80" t="s">
        <v>547</v>
      </c>
      <c r="C229" t="s">
        <v>548</v>
      </c>
      <c r="K229" t="s">
        <v>507</v>
      </c>
      <c r="O229" s="66"/>
    </row>
    <row r="230" spans="2:15" x14ac:dyDescent="0.4">
      <c r="B230" s="80">
        <v>0</v>
      </c>
      <c r="C230" s="23">
        <f>C225</f>
        <v>1.2301203760653721</v>
      </c>
      <c r="D230" s="85" t="str">
        <f t="shared" ref="D230:D242" si="26">"("&amp;_xlfn.TEXTJOIN(",",TRUE,$B230,TEXT($C230,"0.000")&amp;")")</f>
        <v>(0,1.230)</v>
      </c>
      <c r="L230" t="s">
        <v>226</v>
      </c>
      <c r="M230" t="s">
        <v>231</v>
      </c>
      <c r="N230" t="s">
        <v>96</v>
      </c>
      <c r="O230" s="66"/>
    </row>
    <row r="231" spans="2:15" x14ac:dyDescent="0.4">
      <c r="B231" s="80">
        <v>0.2</v>
      </c>
      <c r="C231" s="17">
        <f>$L$238*B231^2+$M$238*B231+$N$238</f>
        <v>1.2209155610227571</v>
      </c>
      <c r="D231" s="85" t="str">
        <f t="shared" si="26"/>
        <v>(0.2,1.221)</v>
      </c>
      <c r="K231" t="s">
        <v>501</v>
      </c>
      <c r="L231">
        <v>0</v>
      </c>
      <c r="M231">
        <f>C225</f>
        <v>1.2301203760653721</v>
      </c>
      <c r="N231">
        <v>0</v>
      </c>
      <c r="O231" s="66"/>
    </row>
    <row r="232" spans="2:15" x14ac:dyDescent="0.4">
      <c r="B232" s="80">
        <f>B231+0.2</f>
        <v>0.4</v>
      </c>
      <c r="C232" s="17">
        <f>$L$238*B232^2+$M$238*B232+$N$238</f>
        <v>1.1933011158949125</v>
      </c>
      <c r="D232" s="85" t="str">
        <f t="shared" si="26"/>
        <v>(0.4,1.193)</v>
      </c>
      <c r="K232" t="s">
        <v>502</v>
      </c>
      <c r="L232">
        <v>1</v>
      </c>
      <c r="M232">
        <v>1</v>
      </c>
      <c r="N232">
        <v>0</v>
      </c>
      <c r="O232" s="66"/>
    </row>
    <row r="233" spans="2:15" x14ac:dyDescent="0.4">
      <c r="B233" s="80">
        <f t="shared" ref="B233:B240" si="27">B232+0.2</f>
        <v>0.60000000000000009</v>
      </c>
      <c r="C233" s="17">
        <f>$L$238*B233^2+$M$238*B233+$N$238</f>
        <v>1.147277040681838</v>
      </c>
      <c r="D233" s="85" t="str">
        <f t="shared" si="26"/>
        <v>(0.6,1.147)</v>
      </c>
      <c r="K233" t="s">
        <v>521</v>
      </c>
      <c r="L233">
        <v>1.3</v>
      </c>
      <c r="M233">
        <v>0</v>
      </c>
      <c r="N233">
        <v>0</v>
      </c>
      <c r="O233" s="66"/>
    </row>
    <row r="234" spans="2:15" x14ac:dyDescent="0.4">
      <c r="B234" s="80">
        <f t="shared" si="27"/>
        <v>0.8</v>
      </c>
      <c r="C234" s="17">
        <f>$L$238*B234^2+$M$238*B234+$N$238</f>
        <v>1.0828433353835338</v>
      </c>
      <c r="D234" s="85" t="str">
        <f t="shared" si="26"/>
        <v>(0.8,1.083)</v>
      </c>
      <c r="O234" s="66"/>
    </row>
    <row r="235" spans="2:15" x14ac:dyDescent="0.4">
      <c r="B235" s="80">
        <f t="shared" si="27"/>
        <v>1</v>
      </c>
      <c r="C235" s="17">
        <f>$L$238*B235^2+$M$238*B235+$N$238</f>
        <v>1</v>
      </c>
      <c r="D235" s="85" t="str">
        <f t="shared" si="26"/>
        <v>(1,1.000)</v>
      </c>
      <c r="O235" s="66"/>
    </row>
    <row r="236" spans="2:15" x14ac:dyDescent="0.4">
      <c r="B236" s="80">
        <f t="shared" si="27"/>
        <v>1.2</v>
      </c>
      <c r="C236" s="17">
        <v>0.91</v>
      </c>
      <c r="D236" s="85" t="str">
        <f t="shared" si="26"/>
        <v>(1.2,0.910)</v>
      </c>
      <c r="K236" t="s">
        <v>503</v>
      </c>
      <c r="O236" s="66"/>
    </row>
    <row r="237" spans="2:15" x14ac:dyDescent="0.4">
      <c r="B237" s="80">
        <f t="shared" si="27"/>
        <v>1.4</v>
      </c>
      <c r="C237" s="17">
        <v>0.78</v>
      </c>
      <c r="D237" s="85" t="str">
        <f t="shared" si="26"/>
        <v>(1.4,0.780)</v>
      </c>
      <c r="L237" t="s">
        <v>504</v>
      </c>
      <c r="M237" t="s">
        <v>505</v>
      </c>
      <c r="N237" t="s">
        <v>506</v>
      </c>
      <c r="O237" s="66"/>
    </row>
    <row r="238" spans="2:15" x14ac:dyDescent="0.4">
      <c r="B238" s="80">
        <f t="shared" si="27"/>
        <v>1.5999999999999999</v>
      </c>
      <c r="C238" s="17">
        <v>0.68</v>
      </c>
      <c r="D238" s="85" t="str">
        <f t="shared" si="26"/>
        <v>(1.6,0.680)</v>
      </c>
      <c r="K238" t="s">
        <v>508</v>
      </c>
      <c r="L238">
        <f xml:space="preserve"> ( (M231 - M232) - (N231 * (L231 - L232)) ) / ((L231^2 - L232^2) - 2*L231*L232*(L231 - L232))</f>
        <v>-0.23012037606537206</v>
      </c>
      <c r="M238">
        <f xml:space="preserve"> 2 * L231 * L238 + N231</f>
        <v>0</v>
      </c>
      <c r="N238">
        <f xml:space="preserve"> M231 - L231^2 * L238 - L231 * M238</f>
        <v>1.2301203760653721</v>
      </c>
      <c r="O238" s="66"/>
    </row>
    <row r="239" spans="2:15" x14ac:dyDescent="0.4">
      <c r="B239" s="80">
        <f t="shared" si="27"/>
        <v>1.7999999999999998</v>
      </c>
      <c r="C239" s="17">
        <f t="shared" ref="C239" si="28">C238-(C237-C238)</f>
        <v>0.58000000000000007</v>
      </c>
      <c r="D239" s="85" t="str">
        <f t="shared" si="26"/>
        <v>(1.8,0.580)</v>
      </c>
      <c r="K239" t="s">
        <v>509</v>
      </c>
      <c r="L239" s="61" t="str">
        <f>"y = " &amp; effect_lookups!L238 &amp; "*x^2 + " &amp; effect_lookups!M238 &amp; "*x + " &amp; effect_lookups!N238</f>
        <v>y = -0.230120376065372*x^2 + 0*x + 1.23012037606537</v>
      </c>
      <c r="O239" s="66"/>
    </row>
    <row r="240" spans="2:15" x14ac:dyDescent="0.4">
      <c r="B240" s="80">
        <f t="shared" si="27"/>
        <v>1.9999999999999998</v>
      </c>
      <c r="C240" s="17">
        <v>0.52</v>
      </c>
      <c r="D240" s="85" t="str">
        <f t="shared" si="26"/>
        <v>(2,0.520)</v>
      </c>
      <c r="O240" s="66"/>
    </row>
    <row r="241" spans="2:15" x14ac:dyDescent="0.4">
      <c r="B241" s="176">
        <f>ROUND(C227,3)</f>
        <v>2.2189999999999999</v>
      </c>
      <c r="C241" s="17">
        <f>5/C224</f>
        <v>0.43932870573763289</v>
      </c>
      <c r="D241" s="85" t="str">
        <f t="shared" si="26"/>
        <v>(2.219,0.439)</v>
      </c>
      <c r="O241" s="66"/>
    </row>
    <row r="242" spans="2:15" x14ac:dyDescent="0.4">
      <c r="B242" s="80">
        <v>15</v>
      </c>
      <c r="C242" s="17">
        <f>C241</f>
        <v>0.43932870573763289</v>
      </c>
      <c r="D242" s="85" t="str">
        <f t="shared" si="26"/>
        <v>(15,0.439)</v>
      </c>
      <c r="O242" s="66"/>
    </row>
    <row r="243" spans="2:15" x14ac:dyDescent="0.4">
      <c r="B243" s="80" t="s">
        <v>510</v>
      </c>
      <c r="C243" s="84" t="str">
        <f>_xlfn.TEXTJOIN(",",TRUE,D230:D242)</f>
        <v>(0,1.230),(0.2,1.221),(0.4,1.193),(0.6,1.147),(0.8,1.083),(1,1.000),(1.2,0.910),(1.4,0.780),(1.6,0.680),(1.8,0.580),(2,0.520),(2.219,0.439),(15,0.439)</v>
      </c>
      <c r="O243" s="66"/>
    </row>
    <row r="244" spans="2:15" x14ac:dyDescent="0.4">
      <c r="B244" s="80" t="s">
        <v>500</v>
      </c>
      <c r="C244" s="17"/>
      <c r="D244" s="85"/>
      <c r="O244" s="66"/>
    </row>
    <row r="245" spans="2:15" ht="15" thickBot="1" x14ac:dyDescent="0.45">
      <c r="B245" s="80"/>
      <c r="C245" s="17"/>
      <c r="D245" s="85"/>
      <c r="O245" s="66"/>
    </row>
    <row r="246" spans="2:15" x14ac:dyDescent="0.4">
      <c r="B246" s="86" t="s">
        <v>490</v>
      </c>
      <c r="C246" s="94" t="s">
        <v>954</v>
      </c>
      <c r="D246" s="94"/>
      <c r="E246" s="94"/>
      <c r="F246" s="94"/>
      <c r="G246" s="94"/>
      <c r="H246" s="94"/>
      <c r="I246" s="94"/>
      <c r="J246" s="94"/>
      <c r="K246" s="94"/>
      <c r="L246" s="94"/>
      <c r="M246" s="94"/>
      <c r="N246" s="94"/>
      <c r="O246" s="87"/>
    </row>
    <row r="247" spans="2:15" x14ac:dyDescent="0.4">
      <c r="B247" s="80" t="s">
        <v>489</v>
      </c>
      <c r="C247" t="s">
        <v>492</v>
      </c>
      <c r="O247" s="66"/>
    </row>
    <row r="248" spans="2:15" x14ac:dyDescent="0.4">
      <c r="B248" s="80" t="s">
        <v>491</v>
      </c>
      <c r="O248" s="66"/>
    </row>
    <row r="249" spans="2:15" x14ac:dyDescent="0.4">
      <c r="B249" s="80" t="s">
        <v>493</v>
      </c>
      <c r="C249">
        <v>-0.15</v>
      </c>
      <c r="D249" s="61" t="s">
        <v>955</v>
      </c>
      <c r="E249" s="61"/>
      <c r="O249" s="66"/>
    </row>
    <row r="250" spans="2:15" x14ac:dyDescent="0.4">
      <c r="B250" s="80" t="s">
        <v>514</v>
      </c>
      <c r="C250">
        <v>1.3</v>
      </c>
      <c r="D250" s="61" t="s">
        <v>956</v>
      </c>
      <c r="O250" s="66"/>
    </row>
    <row r="251" spans="2:15" x14ac:dyDescent="0.4">
      <c r="B251" s="80" t="s">
        <v>497</v>
      </c>
      <c r="C251">
        <v>1</v>
      </c>
      <c r="D251" s="61" t="s">
        <v>544</v>
      </c>
      <c r="O251" s="66"/>
    </row>
    <row r="252" spans="2:15" x14ac:dyDescent="0.4">
      <c r="B252" s="80" t="s">
        <v>555</v>
      </c>
      <c r="C252">
        <v>0.7</v>
      </c>
      <c r="D252" s="61" t="s">
        <v>957</v>
      </c>
      <c r="O252" s="66"/>
    </row>
    <row r="253" spans="2:15" x14ac:dyDescent="0.4">
      <c r="B253" s="80" t="s">
        <v>498</v>
      </c>
      <c r="C253" t="s">
        <v>594</v>
      </c>
      <c r="O253" s="66"/>
    </row>
    <row r="254" spans="2:15" x14ac:dyDescent="0.4">
      <c r="B254" s="80" t="s">
        <v>556</v>
      </c>
      <c r="C254" t="s">
        <v>557</v>
      </c>
      <c r="K254" t="s">
        <v>507</v>
      </c>
      <c r="O254" s="66"/>
    </row>
    <row r="255" spans="2:15" x14ac:dyDescent="0.4">
      <c r="B255" s="80">
        <v>0</v>
      </c>
      <c r="C255" s="23">
        <f>C250</f>
        <v>1.3</v>
      </c>
      <c r="D255" s="85" t="str">
        <f t="shared" ref="D255:D267" si="29">"("&amp;_xlfn.TEXTJOIN(",",TRUE,$B255,TEXT($C255,"0.000")&amp;")")</f>
        <v>(0,1.300)</v>
      </c>
      <c r="O255" s="66"/>
    </row>
    <row r="256" spans="2:15" x14ac:dyDescent="0.4">
      <c r="B256" s="80">
        <v>0.5</v>
      </c>
      <c r="C256" s="17">
        <v>1.3</v>
      </c>
      <c r="D256" s="85" t="str">
        <f t="shared" si="29"/>
        <v>(0.5,1.300)</v>
      </c>
      <c r="F256" s="85"/>
      <c r="L256" t="s">
        <v>226</v>
      </c>
      <c r="M256" t="s">
        <v>231</v>
      </c>
      <c r="N256" t="s">
        <v>96</v>
      </c>
      <c r="O256" s="66"/>
    </row>
    <row r="257" spans="2:15" x14ac:dyDescent="0.4">
      <c r="B257" s="80">
        <v>0.6</v>
      </c>
      <c r="C257" s="17">
        <v>1.29</v>
      </c>
      <c r="D257" s="85" t="str">
        <f t="shared" si="29"/>
        <v>(0.6,1.290)</v>
      </c>
      <c r="F257" s="85"/>
      <c r="K257" t="s">
        <v>501</v>
      </c>
      <c r="L257">
        <v>0</v>
      </c>
      <c r="M257">
        <f>C250</f>
        <v>1.3</v>
      </c>
      <c r="N257">
        <v>0</v>
      </c>
      <c r="O257" s="66"/>
    </row>
    <row r="258" spans="2:15" x14ac:dyDescent="0.4">
      <c r="B258" s="80">
        <v>0.7</v>
      </c>
      <c r="C258" s="17">
        <v>1.27</v>
      </c>
      <c r="D258" s="85" t="str">
        <f t="shared" si="29"/>
        <v>(0.7,1.270)</v>
      </c>
      <c r="F258" s="85"/>
      <c r="K258" t="s">
        <v>502</v>
      </c>
      <c r="L258">
        <v>1</v>
      </c>
      <c r="M258">
        <v>1</v>
      </c>
      <c r="N258">
        <v>0</v>
      </c>
      <c r="O258" s="66"/>
    </row>
    <row r="259" spans="2:15" x14ac:dyDescent="0.4">
      <c r="B259" s="80">
        <v>0.8</v>
      </c>
      <c r="C259" s="17">
        <v>1.23</v>
      </c>
      <c r="D259" s="85" t="str">
        <f t="shared" si="29"/>
        <v>(0.8,1.230)</v>
      </c>
      <c r="F259" s="85"/>
      <c r="O259" s="66"/>
    </row>
    <row r="260" spans="2:15" x14ac:dyDescent="0.4">
      <c r="B260" s="80">
        <v>0.9</v>
      </c>
      <c r="C260" s="17">
        <v>1.1299999999999999</v>
      </c>
      <c r="D260" s="85" t="str">
        <f t="shared" si="29"/>
        <v>(0.9,1.130)</v>
      </c>
      <c r="F260" s="85"/>
      <c r="O260" s="66"/>
    </row>
    <row r="261" spans="2:15" x14ac:dyDescent="0.4">
      <c r="B261" s="80">
        <v>1</v>
      </c>
      <c r="C261" s="17">
        <f t="shared" ref="C261" si="30">$L$264*B261^2+$M$264*B261+$N$264</f>
        <v>1</v>
      </c>
      <c r="D261" s="85" t="str">
        <f t="shared" si="29"/>
        <v>(1,1.000)</v>
      </c>
      <c r="F261" s="85"/>
      <c r="O261" s="66"/>
    </row>
    <row r="262" spans="2:15" x14ac:dyDescent="0.4">
      <c r="B262" s="80">
        <f>B261+0.1</f>
        <v>1.1000000000000001</v>
      </c>
      <c r="C262" s="17">
        <v>0.87</v>
      </c>
      <c r="D262" s="85" t="str">
        <f t="shared" si="29"/>
        <v>(1.1,0.870)</v>
      </c>
      <c r="F262" s="85"/>
      <c r="K262" t="s">
        <v>503</v>
      </c>
      <c r="O262" s="66"/>
    </row>
    <row r="263" spans="2:15" x14ac:dyDescent="0.4">
      <c r="B263" s="80">
        <f t="shared" ref="B263:B266" si="31">B262+0.1</f>
        <v>1.2000000000000002</v>
      </c>
      <c r="C263" s="17">
        <v>0.77</v>
      </c>
      <c r="D263" s="85" t="str">
        <f t="shared" si="29"/>
        <v>(1.2,0.770)</v>
      </c>
      <c r="F263" s="85"/>
      <c r="L263" t="s">
        <v>504</v>
      </c>
      <c r="M263" t="s">
        <v>505</v>
      </c>
      <c r="N263" t="s">
        <v>506</v>
      </c>
      <c r="O263" s="66"/>
    </row>
    <row r="264" spans="2:15" x14ac:dyDescent="0.4">
      <c r="B264" s="80">
        <f t="shared" si="31"/>
        <v>1.3000000000000003</v>
      </c>
      <c r="C264" s="17">
        <v>0.73</v>
      </c>
      <c r="D264" s="85" t="str">
        <f t="shared" si="29"/>
        <v>(1.3,0.730)</v>
      </c>
      <c r="F264" s="85"/>
      <c r="K264" t="s">
        <v>508</v>
      </c>
      <c r="L264">
        <f xml:space="preserve"> ( (M257 - M258) - (N257 * (L257 - L258)) ) / ((L257^2 - L258^2) - 2*L257*L258*(L257 - L258))</f>
        <v>-0.30000000000000004</v>
      </c>
      <c r="M264">
        <f xml:space="preserve"> 2 * L257 * L264 + N257</f>
        <v>0</v>
      </c>
      <c r="N264">
        <f xml:space="preserve"> M257 - L257^2 * L264 - L257 * M264</f>
        <v>1.3</v>
      </c>
      <c r="O264" s="66"/>
    </row>
    <row r="265" spans="2:15" x14ac:dyDescent="0.4">
      <c r="B265" s="80">
        <f t="shared" si="31"/>
        <v>1.4000000000000004</v>
      </c>
      <c r="C265" s="17">
        <v>0.71</v>
      </c>
      <c r="D265" s="85" t="str">
        <f t="shared" si="29"/>
        <v>(1.4,0.710)</v>
      </c>
      <c r="F265" s="85"/>
      <c r="K265" t="s">
        <v>509</v>
      </c>
      <c r="L265" s="61" t="str">
        <f>"y = " &amp; effect_lookups!L264 &amp; "*x^2 + " &amp; effect_lookups!M264 &amp; "*x + " &amp; effect_lookups!N264</f>
        <v>y = -0.3*x^2 + 0*x + 1.3</v>
      </c>
      <c r="O265" s="66"/>
    </row>
    <row r="266" spans="2:15" x14ac:dyDescent="0.4">
      <c r="B266" s="80">
        <f t="shared" si="31"/>
        <v>1.5000000000000004</v>
      </c>
      <c r="C266" s="17">
        <f>C252</f>
        <v>0.7</v>
      </c>
      <c r="D266" s="85" t="str">
        <f t="shared" si="29"/>
        <v>(1.5,0.700)</v>
      </c>
      <c r="F266" s="85"/>
      <c r="O266" s="66"/>
    </row>
    <row r="267" spans="2:15" x14ac:dyDescent="0.4">
      <c r="B267" s="80">
        <v>4</v>
      </c>
      <c r="C267" s="17">
        <f>C266</f>
        <v>0.7</v>
      </c>
      <c r="D267" s="85" t="str">
        <f t="shared" si="29"/>
        <v>(4,0.700)</v>
      </c>
      <c r="F267" s="85"/>
      <c r="O267" s="66"/>
    </row>
    <row r="268" spans="2:15" x14ac:dyDescent="0.4">
      <c r="B268" s="80" t="s">
        <v>510</v>
      </c>
      <c r="C268" s="84" t="str">
        <f>_xlfn.TEXTJOIN(",",TRUE,D255:D267)</f>
        <v>(0,1.300),(0.5,1.300),(0.6,1.290),(0.7,1.270),(0.8,1.230),(0.9,1.130),(1,1.000),(1.1,0.870),(1.2,0.770),(1.3,0.730),(1.4,0.710),(1.5,0.700),(4,0.700)</v>
      </c>
      <c r="O268" s="66"/>
    </row>
    <row r="269" spans="2:15" x14ac:dyDescent="0.4">
      <c r="B269" s="80"/>
      <c r="C269" s="84"/>
      <c r="O269" s="66"/>
    </row>
    <row r="270" spans="2:15" x14ac:dyDescent="0.4">
      <c r="B270" s="80" t="s">
        <v>500</v>
      </c>
      <c r="C270" s="28" t="s">
        <v>559</v>
      </c>
      <c r="D270" s="28"/>
      <c r="E270" s="28"/>
      <c r="F270" s="28"/>
      <c r="G270" s="28"/>
      <c r="H270" s="28"/>
      <c r="I270" s="28"/>
      <c r="J270" s="28"/>
      <c r="K270" s="28"/>
      <c r="L270" s="28"/>
      <c r="M270" s="28"/>
      <c r="N270" s="28"/>
      <c r="O270" s="66"/>
    </row>
    <row r="271" spans="2:15" ht="15" thickBot="1" x14ac:dyDescent="0.45">
      <c r="B271" s="83"/>
      <c r="C271" s="67"/>
      <c r="D271" s="67"/>
      <c r="E271" s="67"/>
      <c r="F271" s="67"/>
      <c r="G271" s="67"/>
      <c r="H271" s="67"/>
      <c r="I271" s="67"/>
      <c r="J271" s="67"/>
      <c r="K271" s="67"/>
      <c r="L271" s="67"/>
      <c r="M271" s="67"/>
      <c r="N271" s="67"/>
      <c r="O271" s="68"/>
    </row>
    <row r="272" spans="2:15" x14ac:dyDescent="0.4">
      <c r="B272" s="86" t="s">
        <v>490</v>
      </c>
      <c r="C272" s="94" t="s">
        <v>992</v>
      </c>
      <c r="D272" s="179"/>
      <c r="E272" s="179"/>
      <c r="F272" s="179"/>
      <c r="G272" s="179"/>
      <c r="H272" s="179"/>
      <c r="I272" s="179"/>
      <c r="J272" s="179"/>
      <c r="K272" s="179"/>
      <c r="L272" s="179"/>
      <c r="M272" s="179"/>
      <c r="N272" s="179"/>
      <c r="O272" s="179"/>
    </row>
    <row r="273" spans="2:15" x14ac:dyDescent="0.4">
      <c r="B273" s="80" t="s">
        <v>489</v>
      </c>
      <c r="C273" t="s">
        <v>492</v>
      </c>
      <c r="I273" s="3"/>
      <c r="J273" s="3"/>
      <c r="O273" s="66"/>
    </row>
    <row r="274" spans="2:15" x14ac:dyDescent="0.4">
      <c r="B274" s="80" t="s">
        <v>997</v>
      </c>
      <c r="C274">
        <v>0.3</v>
      </c>
      <c r="D274" s="184" t="s">
        <v>1003</v>
      </c>
      <c r="I274" s="3" t="s">
        <v>1007</v>
      </c>
      <c r="J274" s="3"/>
      <c r="O274" s="66"/>
    </row>
    <row r="275" spans="2:15" x14ac:dyDescent="0.4">
      <c r="B275" s="80" t="s">
        <v>1001</v>
      </c>
      <c r="C275">
        <v>0.4</v>
      </c>
      <c r="D275" s="184" t="s">
        <v>1002</v>
      </c>
      <c r="I275" s="3" t="s">
        <v>993</v>
      </c>
      <c r="J275" s="38">
        <v>0.25</v>
      </c>
      <c r="O275" s="66"/>
    </row>
    <row r="276" spans="2:15" x14ac:dyDescent="0.4">
      <c r="B276" s="80" t="s">
        <v>493</v>
      </c>
      <c r="C276" s="3" t="s">
        <v>998</v>
      </c>
      <c r="E276" s="61"/>
      <c r="I276" s="3" t="s">
        <v>994</v>
      </c>
      <c r="J276" s="38">
        <v>0.65</v>
      </c>
      <c r="O276" s="66"/>
    </row>
    <row r="277" spans="2:15" x14ac:dyDescent="0.4">
      <c r="B277" s="80" t="s">
        <v>514</v>
      </c>
      <c r="C277">
        <v>0.01</v>
      </c>
      <c r="D277" s="184" t="s">
        <v>1005</v>
      </c>
      <c r="E277" s="61"/>
      <c r="I277" s="3" t="s">
        <v>995</v>
      </c>
      <c r="J277" s="38">
        <v>0.1</v>
      </c>
      <c r="O277" s="66"/>
    </row>
    <row r="278" spans="2:15" x14ac:dyDescent="0.4">
      <c r="B278" s="80" t="s">
        <v>1000</v>
      </c>
      <c r="C278">
        <v>0.9</v>
      </c>
      <c r="D278" s="184" t="s">
        <v>1004</v>
      </c>
      <c r="E278" s="61"/>
      <c r="O278" s="66"/>
    </row>
    <row r="279" spans="2:15" x14ac:dyDescent="0.4">
      <c r="B279" s="161" t="s">
        <v>1008</v>
      </c>
      <c r="C279" s="180"/>
      <c r="D279" s="180"/>
      <c r="E279" s="180"/>
      <c r="F279" s="180"/>
      <c r="G279" s="180"/>
      <c r="H279" s="180"/>
      <c r="I279" s="180"/>
      <c r="J279" s="180"/>
      <c r="K279" s="180"/>
      <c r="L279" s="180"/>
      <c r="M279" s="180"/>
      <c r="N279" s="180"/>
      <c r="O279" s="181"/>
    </row>
    <row r="280" spans="2:15" x14ac:dyDescent="0.4">
      <c r="B280" s="80" t="s">
        <v>996</v>
      </c>
      <c r="C280" s="23">
        <f>J275+J276/2</f>
        <v>0.57499999999999996</v>
      </c>
      <c r="D280" s="184" t="s">
        <v>1006</v>
      </c>
      <c r="E280" s="61"/>
      <c r="O280" s="66"/>
    </row>
    <row r="281" spans="2:15" x14ac:dyDescent="0.4">
      <c r="B281" s="80" t="s">
        <v>999</v>
      </c>
      <c r="C281">
        <v>0.85</v>
      </c>
      <c r="O281" s="66"/>
    </row>
    <row r="282" spans="2:15" x14ac:dyDescent="0.4">
      <c r="B282" s="80" t="s">
        <v>1012</v>
      </c>
      <c r="C282" t="s">
        <v>1011</v>
      </c>
      <c r="O282" s="66"/>
    </row>
    <row r="283" spans="2:15" x14ac:dyDescent="0.4">
      <c r="B283" s="80">
        <v>0</v>
      </c>
      <c r="C283">
        <f>C277</f>
        <v>0.01</v>
      </c>
      <c r="D283" s="85" t="str">
        <f t="shared" ref="D283:D294" si="32">"("&amp;_xlfn.TEXTJOIN(",",TRUE,$B283,TEXT($C283,"0.000")&amp;")")</f>
        <v>(0,0.010)</v>
      </c>
      <c r="M283" s="7"/>
      <c r="O283" s="66"/>
    </row>
    <row r="284" spans="2:15" x14ac:dyDescent="0.4">
      <c r="B284" s="80">
        <f>B283+0.2</f>
        <v>0.2</v>
      </c>
      <c r="C284">
        <f>$L$293*B284^2+$M$293*B284+$N$293</f>
        <v>4.0000000000000008E-2</v>
      </c>
      <c r="D284" s="85" t="str">
        <f t="shared" si="32"/>
        <v>(0.2,0.040)</v>
      </c>
      <c r="O284" s="66"/>
    </row>
    <row r="285" spans="2:15" x14ac:dyDescent="0.4">
      <c r="B285" s="80">
        <f t="shared" ref="B285:B293" si="33">B284+0.2</f>
        <v>0.4</v>
      </c>
      <c r="C285">
        <f t="shared" ref="C285:C287" si="34">$L$293*B285^2+$M$293*B285+$N$293</f>
        <v>0.16000000000000003</v>
      </c>
      <c r="D285" s="85" t="str">
        <f t="shared" si="32"/>
        <v>(0.4,0.160)</v>
      </c>
      <c r="L285" t="s">
        <v>226</v>
      </c>
      <c r="M285" t="s">
        <v>231</v>
      </c>
      <c r="N285" t="s">
        <v>96</v>
      </c>
      <c r="O285" s="66"/>
    </row>
    <row r="286" spans="2:15" x14ac:dyDescent="0.4">
      <c r="B286" s="80">
        <f t="shared" si="33"/>
        <v>0.60000000000000009</v>
      </c>
      <c r="C286">
        <f t="shared" si="34"/>
        <v>0.3600000000000001</v>
      </c>
      <c r="D286" s="85" t="str">
        <f t="shared" si="32"/>
        <v>(0.6,0.360)</v>
      </c>
      <c r="K286" t="s">
        <v>501</v>
      </c>
      <c r="L286">
        <v>0</v>
      </c>
      <c r="M286">
        <f>C279</f>
        <v>0</v>
      </c>
      <c r="N286">
        <v>0</v>
      </c>
      <c r="O286" s="66"/>
    </row>
    <row r="287" spans="2:15" x14ac:dyDescent="0.4">
      <c r="B287" s="80">
        <f t="shared" si="33"/>
        <v>0.8</v>
      </c>
      <c r="C287">
        <f t="shared" si="34"/>
        <v>0.64000000000000012</v>
      </c>
      <c r="D287" s="85" t="str">
        <f t="shared" si="32"/>
        <v>(0.8,0.640)</v>
      </c>
      <c r="K287" t="s">
        <v>502</v>
      </c>
      <c r="L287">
        <v>1</v>
      </c>
      <c r="M287">
        <v>1</v>
      </c>
      <c r="N287">
        <v>0</v>
      </c>
      <c r="O287" s="66"/>
    </row>
    <row r="288" spans="2:15" x14ac:dyDescent="0.4">
      <c r="B288" s="80">
        <f t="shared" si="33"/>
        <v>1</v>
      </c>
      <c r="C288">
        <v>1</v>
      </c>
      <c r="D288" s="85" t="str">
        <f t="shared" si="32"/>
        <v>(1,1.000)</v>
      </c>
      <c r="O288" s="66"/>
    </row>
    <row r="289" spans="2:17" x14ac:dyDescent="0.4">
      <c r="B289" s="80">
        <f t="shared" si="33"/>
        <v>1.2</v>
      </c>
      <c r="C289" s="17">
        <f>C288+(C288-C287)/$J$292</f>
        <v>1.2034782608695651</v>
      </c>
      <c r="D289" s="85" t="str">
        <f t="shared" si="32"/>
        <v>(1.2,1.203)</v>
      </c>
      <c r="O289" s="66"/>
    </row>
    <row r="290" spans="2:17" x14ac:dyDescent="0.4">
      <c r="B290" s="80">
        <f t="shared" si="33"/>
        <v>1.4</v>
      </c>
      <c r="C290" s="17">
        <f>C289+(C287-C286)/$J$292</f>
        <v>1.3617391304347826</v>
      </c>
      <c r="D290" s="85" t="str">
        <f t="shared" si="32"/>
        <v>(1.4,1.362)</v>
      </c>
      <c r="O290" s="66"/>
    </row>
    <row r="291" spans="2:17" x14ac:dyDescent="0.4">
      <c r="B291" s="80">
        <f t="shared" si="33"/>
        <v>1.5999999999999999</v>
      </c>
      <c r="C291" s="17">
        <f>C290+(C286-C285)/$J$292</f>
        <v>1.4747826086956521</v>
      </c>
      <c r="D291" s="85" t="str">
        <f t="shared" si="32"/>
        <v>(1.6,1.475)</v>
      </c>
      <c r="K291" t="s">
        <v>503</v>
      </c>
      <c r="O291" s="66"/>
    </row>
    <row r="292" spans="2:17" x14ac:dyDescent="0.4">
      <c r="B292" s="80">
        <f t="shared" si="33"/>
        <v>1.7999999999999998</v>
      </c>
      <c r="C292" s="17">
        <f>C291+(C285-C284)/$J$292</f>
        <v>1.5426086956521738</v>
      </c>
      <c r="D292" s="85" t="str">
        <f t="shared" si="32"/>
        <v>(1.8,1.543)</v>
      </c>
      <c r="I292" t="s">
        <v>912</v>
      </c>
      <c r="J292" s="117">
        <f>1/(C293-1)</f>
        <v>1.7692307692307689</v>
      </c>
      <c r="L292" t="s">
        <v>504</v>
      </c>
      <c r="M292" t="s">
        <v>505</v>
      </c>
      <c r="N292" t="s">
        <v>506</v>
      </c>
      <c r="O292" s="66"/>
      <c r="Q292" s="17"/>
    </row>
    <row r="293" spans="2:17" x14ac:dyDescent="0.4">
      <c r="B293" s="80">
        <f t="shared" si="33"/>
        <v>1.9999999999999998</v>
      </c>
      <c r="C293" s="23">
        <f>C278/C280</f>
        <v>1.5652173913043479</v>
      </c>
      <c r="D293" s="85" t="str">
        <f t="shared" si="32"/>
        <v>(2,1.565)</v>
      </c>
      <c r="K293" t="s">
        <v>508</v>
      </c>
      <c r="L293">
        <f xml:space="preserve"> ( (M286 - M287) - (N286 * (L286 - L287)) ) / ((L286^2 - L287^2) - 2*L286*L287*(L286 - L287))</f>
        <v>1</v>
      </c>
      <c r="M293">
        <f xml:space="preserve"> 2 * L286 * L293 + N286</f>
        <v>0</v>
      </c>
      <c r="N293">
        <f xml:space="preserve"> M286 - L286^2 * L293 - L286 * M293</f>
        <v>0</v>
      </c>
      <c r="O293" s="66"/>
      <c r="Q293" s="17"/>
    </row>
    <row r="294" spans="2:17" x14ac:dyDescent="0.4">
      <c r="B294" s="80">
        <v>4</v>
      </c>
      <c r="C294" s="23">
        <f>C293</f>
        <v>1.5652173913043479</v>
      </c>
      <c r="D294" s="85" t="str">
        <f t="shared" si="32"/>
        <v>(4,1.565)</v>
      </c>
      <c r="K294" t="s">
        <v>509</v>
      </c>
      <c r="L294" s="61" t="str">
        <f>"y = " &amp; effect_lookups!L293 &amp; "*x^2 + " &amp; effect_lookups!M293 &amp; "*x + " &amp; effect_lookups!N293</f>
        <v>y = 1*x^2 + 0*x + 0</v>
      </c>
      <c r="O294" s="66"/>
    </row>
    <row r="295" spans="2:17" ht="15" thickBot="1" x14ac:dyDescent="0.45">
      <c r="B295" s="80" t="s">
        <v>510</v>
      </c>
      <c r="C295" s="84" t="str">
        <f>_xlfn.TEXTJOIN(",",TRUE,D282:D294)</f>
        <v>(0,0.010),(0.2,0.040),(0.4,0.160),(0.6,0.360),(0.8,0.640),(1,1.000),(1.2,1.203),(1.4,1.362),(1.6,1.475),(1.8,1.543),(2,1.565),(4,1.565)</v>
      </c>
      <c r="D295" s="85"/>
      <c r="E295" s="67"/>
      <c r="F295" s="67"/>
      <c r="G295" s="67"/>
      <c r="H295" s="67"/>
      <c r="I295" s="67"/>
      <c r="J295" s="67"/>
      <c r="K295" s="67"/>
      <c r="L295" s="67"/>
      <c r="M295" s="67"/>
      <c r="N295" s="67"/>
      <c r="O295" s="68"/>
    </row>
    <row r="296" spans="2:17" x14ac:dyDescent="0.4">
      <c r="B296" s="164" t="s">
        <v>1009</v>
      </c>
      <c r="C296" s="182"/>
      <c r="D296" s="182"/>
      <c r="E296" s="182"/>
      <c r="F296" s="182"/>
      <c r="G296" s="182"/>
      <c r="H296" s="182"/>
      <c r="I296" s="182"/>
      <c r="J296" s="182"/>
      <c r="K296" s="182"/>
      <c r="L296" s="182"/>
      <c r="M296" s="182"/>
      <c r="N296" s="182"/>
      <c r="O296" s="183"/>
    </row>
    <row r="297" spans="2:17" x14ac:dyDescent="0.4">
      <c r="B297" s="80" t="s">
        <v>996</v>
      </c>
      <c r="C297" s="23">
        <f>C274</f>
        <v>0.3</v>
      </c>
      <c r="D297" s="184" t="s">
        <v>1010</v>
      </c>
      <c r="O297" s="66"/>
    </row>
    <row r="298" spans="2:17" x14ac:dyDescent="0.4">
      <c r="B298" s="80" t="s">
        <v>999</v>
      </c>
      <c r="C298">
        <v>0.85</v>
      </c>
      <c r="O298" s="66"/>
    </row>
    <row r="299" spans="2:17" x14ac:dyDescent="0.4">
      <c r="B299" s="80" t="s">
        <v>1012</v>
      </c>
      <c r="C299" t="s">
        <v>1011</v>
      </c>
      <c r="O299" s="66"/>
      <c r="Q299" s="185"/>
    </row>
    <row r="300" spans="2:17" x14ac:dyDescent="0.4">
      <c r="B300" s="80">
        <v>0</v>
      </c>
      <c r="C300">
        <f>C277</f>
        <v>0.01</v>
      </c>
      <c r="D300" s="85" t="str">
        <f t="shared" ref="D300:D312" si="35">"("&amp;_xlfn.TEXTJOIN(",",TRUE,$B300,TEXT($C300,"0.000")&amp;")")</f>
        <v>(0,0.010)</v>
      </c>
      <c r="O300" s="66"/>
      <c r="Q300" s="17"/>
    </row>
    <row r="301" spans="2:17" x14ac:dyDescent="0.4">
      <c r="B301" s="80">
        <f>B300+0.2</f>
        <v>0.2</v>
      </c>
      <c r="C301">
        <v>0.3</v>
      </c>
      <c r="D301" s="85" t="str">
        <f t="shared" si="35"/>
        <v>(0.2,0.300)</v>
      </c>
      <c r="O301" s="66"/>
      <c r="Q301" s="17"/>
    </row>
    <row r="302" spans="2:17" x14ac:dyDescent="0.4">
      <c r="B302" s="80">
        <f t="shared" ref="B302:B310" si="36">B301+0.2</f>
        <v>0.4</v>
      </c>
      <c r="C302">
        <v>0.55000000000000004</v>
      </c>
      <c r="D302" s="85" t="str">
        <f t="shared" si="35"/>
        <v>(0.4,0.550)</v>
      </c>
      <c r="O302" s="66"/>
      <c r="Q302" s="17"/>
    </row>
    <row r="303" spans="2:17" x14ac:dyDescent="0.4">
      <c r="B303" s="80">
        <f t="shared" si="36"/>
        <v>0.60000000000000009</v>
      </c>
      <c r="C303">
        <v>0.75</v>
      </c>
      <c r="D303" s="85" t="str">
        <f t="shared" si="35"/>
        <v>(0.6,0.750)</v>
      </c>
      <c r="J303">
        <f>0.5/C275</f>
        <v>1.25</v>
      </c>
      <c r="O303" s="66"/>
    </row>
    <row r="304" spans="2:17" x14ac:dyDescent="0.4">
      <c r="B304" s="80">
        <f t="shared" si="36"/>
        <v>0.8</v>
      </c>
      <c r="C304">
        <v>0.95</v>
      </c>
      <c r="D304" s="85" t="str">
        <f t="shared" si="35"/>
        <v>(0.8,0.950)</v>
      </c>
      <c r="O304" s="66"/>
    </row>
    <row r="305" spans="2:15" x14ac:dyDescent="0.4">
      <c r="B305" s="80">
        <f t="shared" si="36"/>
        <v>1</v>
      </c>
      <c r="C305">
        <v>1</v>
      </c>
      <c r="D305" s="85" t="str">
        <f t="shared" si="35"/>
        <v>(1,1.000)</v>
      </c>
      <c r="O305" s="66"/>
    </row>
    <row r="306" spans="2:15" x14ac:dyDescent="0.4">
      <c r="B306" s="80">
        <f t="shared" si="36"/>
        <v>1.2</v>
      </c>
      <c r="C306" s="17">
        <v>1.1499999999999999</v>
      </c>
      <c r="D306" s="85" t="str">
        <f t="shared" si="35"/>
        <v>(1.2,1.150)</v>
      </c>
      <c r="K306">
        <v>1.4499999999999997</v>
      </c>
      <c r="O306" s="66"/>
    </row>
    <row r="307" spans="2:15" x14ac:dyDescent="0.4">
      <c r="B307" s="80">
        <f t="shared" si="36"/>
        <v>1.4</v>
      </c>
      <c r="C307" s="17">
        <v>1.4</v>
      </c>
      <c r="D307" s="85" t="str">
        <f t="shared" si="35"/>
        <v>(1.4,1.400)</v>
      </c>
      <c r="K307">
        <v>2.1274193548387093</v>
      </c>
      <c r="O307" s="66"/>
    </row>
    <row r="308" spans="2:15" x14ac:dyDescent="0.4">
      <c r="B308" s="80">
        <f t="shared" si="36"/>
        <v>1.5999999999999999</v>
      </c>
      <c r="C308" s="17">
        <v>1.8</v>
      </c>
      <c r="D308" s="85" t="str">
        <f t="shared" si="35"/>
        <v>(1.6,1.800)</v>
      </c>
      <c r="K308">
        <v>2.6112903225806448</v>
      </c>
      <c r="O308" s="66"/>
    </row>
    <row r="309" spans="2:15" x14ac:dyDescent="0.4">
      <c r="B309" s="80">
        <f t="shared" si="36"/>
        <v>1.7999999999999998</v>
      </c>
      <c r="C309" s="17">
        <v>2.6</v>
      </c>
      <c r="D309" s="85" t="str">
        <f t="shared" si="35"/>
        <v>(1.8,2.600)</v>
      </c>
      <c r="K309">
        <v>2.9016129032258062</v>
      </c>
      <c r="O309" s="66"/>
    </row>
    <row r="310" spans="2:15" x14ac:dyDescent="0.4">
      <c r="B310" s="80">
        <f t="shared" si="36"/>
        <v>1.9999999999999998</v>
      </c>
      <c r="C310">
        <v>2.85</v>
      </c>
      <c r="D310" s="85" t="str">
        <f t="shared" si="35"/>
        <v>(2,2.850)</v>
      </c>
      <c r="I310" t="s">
        <v>912</v>
      </c>
      <c r="J310" s="117">
        <f>1/(C312)+0.08</f>
        <v>0.41333333333333333</v>
      </c>
      <c r="K310">
        <v>2.9741935483870967</v>
      </c>
      <c r="O310" s="66"/>
    </row>
    <row r="311" spans="2:15" x14ac:dyDescent="0.4">
      <c r="B311" s="80">
        <v>2.25</v>
      </c>
      <c r="C311" s="17">
        <v>3</v>
      </c>
      <c r="D311" s="85" t="str">
        <f t="shared" si="35"/>
        <v>(2.25,3.000)</v>
      </c>
      <c r="O311" s="66"/>
    </row>
    <row r="312" spans="2:15" x14ac:dyDescent="0.4">
      <c r="B312" s="80">
        <v>3</v>
      </c>
      <c r="C312">
        <f>C278/C297</f>
        <v>3</v>
      </c>
      <c r="D312" s="85" t="str">
        <f t="shared" si="35"/>
        <v>(3,3.000)</v>
      </c>
      <c r="K312">
        <v>3</v>
      </c>
      <c r="O312" s="66"/>
    </row>
    <row r="313" spans="2:15" ht="15" thickBot="1" x14ac:dyDescent="0.45">
      <c r="B313" s="80" t="s">
        <v>510</v>
      </c>
      <c r="C313" s="84" t="str">
        <f>_xlfn.TEXTJOIN(",",TRUE,D300:D312)</f>
        <v>(0,0.010),(0.2,0.300),(0.4,0.550),(0.6,0.750),(0.8,0.950),(1,1.000),(1.2,1.150),(1.4,1.400),(1.6,1.800),(1.8,2.600),(2,2.850),(2.25,3.000),(3,3.000)</v>
      </c>
      <c r="D313" s="67"/>
      <c r="E313" s="67"/>
      <c r="F313" s="67"/>
      <c r="G313" s="67"/>
      <c r="H313" s="67"/>
      <c r="I313" s="67"/>
      <c r="J313" s="67"/>
      <c r="K313" s="67"/>
      <c r="L313" s="67"/>
      <c r="M313" s="67"/>
      <c r="N313" s="67"/>
      <c r="O313" s="68"/>
    </row>
    <row r="314" spans="2:15" x14ac:dyDescent="0.4">
      <c r="B314" s="86" t="s">
        <v>490</v>
      </c>
      <c r="C314" s="94" t="s">
        <v>535</v>
      </c>
      <c r="D314" s="94"/>
      <c r="E314" s="94"/>
      <c r="F314" s="94"/>
      <c r="G314" s="94"/>
      <c r="H314" s="94"/>
      <c r="I314" s="94"/>
      <c r="J314" s="94"/>
      <c r="K314" s="94"/>
      <c r="L314" s="94"/>
      <c r="M314" s="94"/>
      <c r="N314" s="94"/>
      <c r="O314" s="87"/>
    </row>
    <row r="315" spans="2:15" x14ac:dyDescent="0.4">
      <c r="B315" s="80" t="s">
        <v>489</v>
      </c>
      <c r="C315" t="s">
        <v>492</v>
      </c>
      <c r="O315" s="66"/>
    </row>
    <row r="316" spans="2:15" x14ac:dyDescent="0.4">
      <c r="B316" s="80" t="s">
        <v>491</v>
      </c>
      <c r="C316" s="23">
        <f>estimates!C117</f>
        <v>1.2379423302247834</v>
      </c>
      <c r="D316" s="23">
        <f>estimates!D117</f>
        <v>1.0902694009846052</v>
      </c>
      <c r="E316" t="s">
        <v>462</v>
      </c>
      <c r="O316" s="66"/>
    </row>
    <row r="317" spans="2:15" x14ac:dyDescent="0.4">
      <c r="B317" s="80" t="s">
        <v>493</v>
      </c>
      <c r="C317" s="16">
        <f>estimates!C116</f>
        <v>1.3663846072750721E-2</v>
      </c>
      <c r="D317" s="16">
        <f>estimates!D116</f>
        <v>2.0801699338462536E-2</v>
      </c>
      <c r="E317" t="s">
        <v>228</v>
      </c>
      <c r="F317" s="61" t="s">
        <v>531</v>
      </c>
      <c r="O317" s="66"/>
    </row>
    <row r="318" spans="2:15" x14ac:dyDescent="0.4">
      <c r="B318" s="80" t="s">
        <v>514</v>
      </c>
      <c r="C318" s="17">
        <v>1.67</v>
      </c>
      <c r="D318" t="s">
        <v>53</v>
      </c>
      <c r="E318" s="61" t="s">
        <v>532</v>
      </c>
      <c r="O318" s="66"/>
    </row>
    <row r="319" spans="2:15" x14ac:dyDescent="0.4">
      <c r="B319" s="80" t="s">
        <v>533</v>
      </c>
      <c r="C319">
        <v>1</v>
      </c>
      <c r="D319" t="s">
        <v>53</v>
      </c>
      <c r="E319" s="61"/>
      <c r="O319" s="66"/>
    </row>
    <row r="320" spans="2:15" x14ac:dyDescent="0.4">
      <c r="B320" s="80" t="s">
        <v>536</v>
      </c>
      <c r="C320">
        <v>0</v>
      </c>
      <c r="D320" s="23" t="s">
        <v>53</v>
      </c>
      <c r="E320" s="61"/>
      <c r="O320" s="66"/>
    </row>
    <row r="321" spans="2:15" x14ac:dyDescent="0.4">
      <c r="B321" s="80" t="s">
        <v>498</v>
      </c>
      <c r="C321" t="s">
        <v>537</v>
      </c>
      <c r="O321" s="66"/>
    </row>
    <row r="322" spans="2:15" x14ac:dyDescent="0.4">
      <c r="B322" s="80" t="s">
        <v>540</v>
      </c>
      <c r="C322" t="s">
        <v>541</v>
      </c>
      <c r="K322" t="s">
        <v>507</v>
      </c>
      <c r="O322" s="66"/>
    </row>
    <row r="323" spans="2:15" x14ac:dyDescent="0.4">
      <c r="B323" s="80">
        <v>0</v>
      </c>
      <c r="C323" s="23">
        <f>C318</f>
        <v>1.67</v>
      </c>
      <c r="D323" s="85" t="str">
        <f>"("&amp;_xlfn.TEXTJOIN(",",TRUE,$B323,TEXT($C323,"0.000")&amp;")")</f>
        <v>(0,1.670)</v>
      </c>
      <c r="L323" t="s">
        <v>226</v>
      </c>
      <c r="M323" t="s">
        <v>231</v>
      </c>
      <c r="N323" t="s">
        <v>96</v>
      </c>
      <c r="O323" s="66"/>
    </row>
    <row r="324" spans="2:15" x14ac:dyDescent="0.4">
      <c r="B324" s="80">
        <v>0.1</v>
      </c>
      <c r="C324" s="17">
        <f>$L$331*B324^2+$M$331*B324+$N$331</f>
        <v>1.6633</v>
      </c>
      <c r="D324" s="85" t="str">
        <f t="shared" ref="D324:D338" si="37">"("&amp;_xlfn.TEXTJOIN(",",TRUE,$B324,TEXT($C324,"0.000")&amp;")")</f>
        <v>(0.1,1.663)</v>
      </c>
      <c r="K324" t="s">
        <v>501</v>
      </c>
      <c r="L324">
        <v>0</v>
      </c>
      <c r="M324">
        <v>1.67</v>
      </c>
      <c r="N324">
        <v>0</v>
      </c>
      <c r="O324" s="66"/>
    </row>
    <row r="325" spans="2:15" x14ac:dyDescent="0.4">
      <c r="B325" s="80">
        <v>0.2</v>
      </c>
      <c r="C325" s="17">
        <f t="shared" ref="C325:C333" si="38">$L$331*B325^2+$M$331*B325+$N$331</f>
        <v>1.6432</v>
      </c>
      <c r="D325" s="85" t="str">
        <f t="shared" si="37"/>
        <v>(0.2,1.643)</v>
      </c>
      <c r="K325" t="s">
        <v>502</v>
      </c>
      <c r="L325">
        <v>1</v>
      </c>
      <c r="M325">
        <v>1</v>
      </c>
      <c r="N325">
        <v>-1</v>
      </c>
      <c r="O325" s="66"/>
    </row>
    <row r="326" spans="2:15" x14ac:dyDescent="0.4">
      <c r="B326" s="80">
        <v>0.3</v>
      </c>
      <c r="C326" s="17">
        <f t="shared" si="38"/>
        <v>1.6096999999999999</v>
      </c>
      <c r="D326" s="85" t="str">
        <f t="shared" si="37"/>
        <v>(0.3,1.610)</v>
      </c>
      <c r="K326" t="s">
        <v>521</v>
      </c>
      <c r="L326">
        <v>1.3</v>
      </c>
      <c r="M326">
        <v>0</v>
      </c>
      <c r="N326">
        <v>0</v>
      </c>
      <c r="O326" s="66"/>
    </row>
    <row r="327" spans="2:15" x14ac:dyDescent="0.4">
      <c r="B327" s="80">
        <v>0.4</v>
      </c>
      <c r="C327" s="17">
        <f t="shared" si="38"/>
        <v>1.5628</v>
      </c>
      <c r="D327" s="85" t="str">
        <f t="shared" si="37"/>
        <v>(0.4,1.563)</v>
      </c>
      <c r="O327" s="66"/>
    </row>
    <row r="328" spans="2:15" x14ac:dyDescent="0.4">
      <c r="B328" s="80">
        <v>0.5</v>
      </c>
      <c r="C328" s="17">
        <f t="shared" si="38"/>
        <v>1.5024999999999999</v>
      </c>
      <c r="D328" s="85" t="str">
        <f t="shared" si="37"/>
        <v>(0.5,1.503)</v>
      </c>
      <c r="O328" s="66"/>
    </row>
    <row r="329" spans="2:15" x14ac:dyDescent="0.4">
      <c r="B329" s="80">
        <v>0.6</v>
      </c>
      <c r="C329" s="17">
        <f t="shared" si="38"/>
        <v>1.4287999999999998</v>
      </c>
      <c r="D329" s="85" t="str">
        <f t="shared" si="37"/>
        <v>(0.6,1.429)</v>
      </c>
      <c r="K329" t="s">
        <v>503</v>
      </c>
      <c r="O329" s="66"/>
    </row>
    <row r="330" spans="2:15" x14ac:dyDescent="0.4">
      <c r="B330" s="80">
        <v>0.7</v>
      </c>
      <c r="C330" s="17">
        <f t="shared" si="38"/>
        <v>1.3416999999999999</v>
      </c>
      <c r="D330" s="85" t="str">
        <f t="shared" si="37"/>
        <v>(0.7,1.342)</v>
      </c>
      <c r="L330" t="s">
        <v>504</v>
      </c>
      <c r="M330" t="s">
        <v>505</v>
      </c>
      <c r="N330" t="s">
        <v>506</v>
      </c>
      <c r="O330" s="66"/>
    </row>
    <row r="331" spans="2:15" x14ac:dyDescent="0.4">
      <c r="B331" s="80">
        <v>0.8</v>
      </c>
      <c r="C331" s="17">
        <f t="shared" si="38"/>
        <v>1.2411999999999999</v>
      </c>
      <c r="D331" s="85" t="str">
        <f t="shared" si="37"/>
        <v>(0.8,1.241)</v>
      </c>
      <c r="K331" t="s">
        <v>508</v>
      </c>
      <c r="L331">
        <f xml:space="preserve"> ( (M324 - M325) - (N324 * (L324 - L325)) ) / ((L324^2 - L325^2) - 2*L324*L325*(L324 - L325))</f>
        <v>-0.66999999999999993</v>
      </c>
      <c r="M331">
        <f xml:space="preserve"> 2 * L324 * L331 + N324</f>
        <v>0</v>
      </c>
      <c r="N331">
        <f xml:space="preserve"> M324 - L324^2 * L331 - L324 * M331</f>
        <v>1.67</v>
      </c>
      <c r="O331" s="66"/>
    </row>
    <row r="332" spans="2:15" x14ac:dyDescent="0.4">
      <c r="B332" s="80">
        <v>0.9</v>
      </c>
      <c r="C332" s="17">
        <f t="shared" si="38"/>
        <v>1.1273</v>
      </c>
      <c r="D332" s="85" t="str">
        <f t="shared" si="37"/>
        <v>(0.9,1.127)</v>
      </c>
      <c r="K332" t="s">
        <v>509</v>
      </c>
      <c r="L332" s="61" t="str">
        <f>"y = " &amp; effect_lookups!L331 &amp; "*x^2 + " &amp; effect_lookups!M331 &amp; "*x + " &amp; effect_lookups!N331</f>
        <v>y = -0.67*x^2 + 0*x + 1.67</v>
      </c>
      <c r="O332" s="66"/>
    </row>
    <row r="333" spans="2:15" x14ac:dyDescent="0.4">
      <c r="B333" s="80">
        <v>1</v>
      </c>
      <c r="C333" s="17">
        <f t="shared" si="38"/>
        <v>1</v>
      </c>
      <c r="D333" s="85" t="str">
        <f t="shared" si="37"/>
        <v>(1,1.000)</v>
      </c>
      <c r="O333" s="66"/>
    </row>
    <row r="334" spans="2:15" x14ac:dyDescent="0.4">
      <c r="B334" s="80">
        <v>1.1000000000000001</v>
      </c>
      <c r="C334" s="17">
        <v>0.5</v>
      </c>
      <c r="D334" s="85" t="str">
        <f t="shared" si="37"/>
        <v>(1.1,0.500)</v>
      </c>
      <c r="O334" s="66"/>
    </row>
    <row r="335" spans="2:15" x14ac:dyDescent="0.4">
      <c r="B335" s="80">
        <v>1.2</v>
      </c>
      <c r="C335" s="17">
        <v>0.1</v>
      </c>
      <c r="D335" s="85" t="str">
        <f t="shared" si="37"/>
        <v>(1.2,0.100)</v>
      </c>
      <c r="O335" s="66"/>
    </row>
    <row r="336" spans="2:15" x14ac:dyDescent="0.4">
      <c r="B336" s="80">
        <v>1.3</v>
      </c>
      <c r="C336" s="17">
        <v>0</v>
      </c>
      <c r="D336" s="85" t="str">
        <f t="shared" si="37"/>
        <v>(1.3,0.000)</v>
      </c>
      <c r="O336" s="66"/>
    </row>
    <row r="337" spans="2:15" x14ac:dyDescent="0.4">
      <c r="B337" s="80">
        <v>1.4</v>
      </c>
      <c r="C337" s="17">
        <v>0</v>
      </c>
      <c r="D337" s="85" t="str">
        <f t="shared" si="37"/>
        <v>(1.4,0.000)</v>
      </c>
      <c r="O337" s="66"/>
    </row>
    <row r="338" spans="2:15" x14ac:dyDescent="0.4">
      <c r="B338" s="80">
        <v>2</v>
      </c>
      <c r="C338" s="17">
        <v>0</v>
      </c>
      <c r="D338" s="85" t="str">
        <f t="shared" si="37"/>
        <v>(2,0.000)</v>
      </c>
      <c r="O338" s="66"/>
    </row>
    <row r="339" spans="2:15" x14ac:dyDescent="0.4">
      <c r="B339" s="80" t="s">
        <v>510</v>
      </c>
      <c r="C339" s="84" t="str">
        <f>_xlfn.TEXTJOIN(",",TRUE,D323:D338)</f>
        <v>(0,1.670),(0.1,1.663),(0.2,1.643),(0.3,1.610),(0.4,1.563),(0.5,1.503),(0.6,1.429),(0.7,1.342),(0.8,1.241),(0.9,1.127),(1,1.000),(1.1,0.500),(1.2,0.100),(1.3,0.000),(1.4,0.000),(2,0.000)</v>
      </c>
      <c r="O339" s="66"/>
    </row>
    <row r="340" spans="2:15" x14ac:dyDescent="0.4">
      <c r="B340" s="80" t="s">
        <v>500</v>
      </c>
      <c r="C340" t="s">
        <v>549</v>
      </c>
      <c r="O340" s="88"/>
    </row>
    <row r="341" spans="2:15" ht="15" thickBot="1" x14ac:dyDescent="0.45">
      <c r="B341" s="83"/>
      <c r="C341" s="67"/>
      <c r="D341" s="67"/>
      <c r="E341" s="67"/>
      <c r="F341" s="67"/>
      <c r="G341" s="67"/>
      <c r="H341" s="67"/>
      <c r="I341" s="67"/>
      <c r="J341" s="67"/>
      <c r="K341" s="67"/>
      <c r="L341" s="67"/>
      <c r="M341" s="67"/>
      <c r="N341" s="67"/>
      <c r="O341" s="68"/>
    </row>
    <row r="342" spans="2:15" ht="15" thickBot="1" x14ac:dyDescent="0.45">
      <c r="B342" s="86" t="s">
        <v>490</v>
      </c>
      <c r="C342" s="94" t="s">
        <v>560</v>
      </c>
      <c r="D342" s="94"/>
      <c r="E342" s="94"/>
      <c r="F342" s="94"/>
      <c r="G342" s="94"/>
      <c r="H342" s="94"/>
      <c r="I342" s="94"/>
      <c r="J342" s="94"/>
      <c r="K342" s="94"/>
      <c r="L342" s="94"/>
      <c r="M342" s="94"/>
      <c r="N342" s="94"/>
      <c r="O342" s="87"/>
    </row>
    <row r="343" spans="2:15" x14ac:dyDescent="0.4">
      <c r="B343" s="80" t="s">
        <v>489</v>
      </c>
      <c r="C343" t="s">
        <v>492</v>
      </c>
      <c r="O343" s="65"/>
    </row>
    <row r="344" spans="2:15" x14ac:dyDescent="0.4">
      <c r="B344" s="80" t="s">
        <v>491</v>
      </c>
      <c r="C344">
        <v>1.24</v>
      </c>
      <c r="D344">
        <v>1.0900000000000001</v>
      </c>
      <c r="E344" s="61" t="s">
        <v>562</v>
      </c>
      <c r="O344" s="66"/>
    </row>
    <row r="345" spans="2:15" x14ac:dyDescent="0.4">
      <c r="B345" s="80" t="s">
        <v>493</v>
      </c>
      <c r="C345">
        <v>2.4299999999999999E-2</v>
      </c>
      <c r="D345">
        <v>1.8200000000000001E-2</v>
      </c>
      <c r="E345" s="61" t="s">
        <v>561</v>
      </c>
      <c r="O345" s="66"/>
    </row>
    <row r="346" spans="2:15" x14ac:dyDescent="0.4">
      <c r="B346" s="80" t="s">
        <v>514</v>
      </c>
      <c r="C346">
        <v>0</v>
      </c>
      <c r="D346" s="61" t="s">
        <v>543</v>
      </c>
      <c r="O346" s="66"/>
    </row>
    <row r="347" spans="2:15" x14ac:dyDescent="0.4">
      <c r="B347" s="80" t="s">
        <v>497</v>
      </c>
      <c r="C347">
        <v>1</v>
      </c>
      <c r="D347" s="61" t="s">
        <v>544</v>
      </c>
      <c r="O347" s="66"/>
    </row>
    <row r="348" spans="2:15" x14ac:dyDescent="0.4">
      <c r="B348" s="80" t="s">
        <v>555</v>
      </c>
      <c r="C348">
        <v>1</v>
      </c>
      <c r="D348" s="61" t="s">
        <v>544</v>
      </c>
      <c r="O348" s="66"/>
    </row>
    <row r="349" spans="2:15" x14ac:dyDescent="0.4">
      <c r="B349" s="80" t="s">
        <v>498</v>
      </c>
      <c r="C349" t="s">
        <v>563</v>
      </c>
      <c r="O349" s="66"/>
    </row>
    <row r="350" spans="2:15" x14ac:dyDescent="0.4">
      <c r="B350" s="80" t="s">
        <v>564</v>
      </c>
      <c r="C350" t="s">
        <v>299</v>
      </c>
      <c r="K350" t="s">
        <v>507</v>
      </c>
      <c r="O350" s="66"/>
    </row>
    <row r="351" spans="2:15" x14ac:dyDescent="0.4">
      <c r="B351" s="80">
        <v>0</v>
      </c>
      <c r="C351" s="23">
        <f>C346</f>
        <v>0</v>
      </c>
      <c r="D351" s="85" t="str">
        <f>"("&amp;_xlfn.TEXTJOIN(",",TRUE,$B351,TEXT($C351,"0.000")&amp;")")</f>
        <v>(0,0.000)</v>
      </c>
      <c r="L351" t="s">
        <v>226</v>
      </c>
      <c r="M351" t="s">
        <v>231</v>
      </c>
      <c r="N351" t="s">
        <v>96</v>
      </c>
      <c r="O351" s="66"/>
    </row>
    <row r="352" spans="2:15" x14ac:dyDescent="0.4">
      <c r="B352" s="80">
        <v>0.1</v>
      </c>
      <c r="C352" s="17">
        <f>$L$359*B352^2+$M$359*B352+$N$359</f>
        <v>0.19</v>
      </c>
      <c r="D352" s="85" t="str">
        <f t="shared" ref="D352:D362" si="39">"("&amp;_xlfn.TEXTJOIN(",",TRUE,$B352,TEXT($C352,"0.000")&amp;")")</f>
        <v>(0.1,0.190)</v>
      </c>
      <c r="K352" t="s">
        <v>501</v>
      </c>
      <c r="L352">
        <v>0</v>
      </c>
      <c r="M352">
        <v>0</v>
      </c>
      <c r="N352">
        <v>2</v>
      </c>
      <c r="O352" s="66"/>
    </row>
    <row r="353" spans="2:15" x14ac:dyDescent="0.4">
      <c r="B353" s="80">
        <f>B352+0.1</f>
        <v>0.2</v>
      </c>
      <c r="C353" s="17">
        <f t="shared" ref="C353:C361" si="40">$L$359*B353^2+$M$359*B353+$N$359</f>
        <v>0.36</v>
      </c>
      <c r="D353" s="85" t="str">
        <f t="shared" si="39"/>
        <v>(0.2,0.360)</v>
      </c>
      <c r="K353" t="s">
        <v>502</v>
      </c>
      <c r="L353">
        <v>1</v>
      </c>
      <c r="M353">
        <v>1</v>
      </c>
      <c r="N353">
        <v>0</v>
      </c>
      <c r="O353" s="66"/>
    </row>
    <row r="354" spans="2:15" x14ac:dyDescent="0.4">
      <c r="B354" s="80">
        <f t="shared" ref="B354:B361" si="41">B353+0.1</f>
        <v>0.30000000000000004</v>
      </c>
      <c r="C354" s="17">
        <f t="shared" si="40"/>
        <v>0.51</v>
      </c>
      <c r="D354" s="85" t="str">
        <f t="shared" si="39"/>
        <v>(0.3,0.510)</v>
      </c>
      <c r="K354" t="s">
        <v>521</v>
      </c>
      <c r="L354">
        <v>1.3</v>
      </c>
      <c r="M354">
        <v>0</v>
      </c>
      <c r="N354">
        <v>0</v>
      </c>
      <c r="O354" s="66"/>
    </row>
    <row r="355" spans="2:15" x14ac:dyDescent="0.4">
      <c r="B355" s="80">
        <f t="shared" si="41"/>
        <v>0.4</v>
      </c>
      <c r="C355" s="17">
        <f t="shared" si="40"/>
        <v>0.64</v>
      </c>
      <c r="D355" s="85" t="str">
        <f t="shared" si="39"/>
        <v>(0.4,0.640)</v>
      </c>
      <c r="O355" s="66"/>
    </row>
    <row r="356" spans="2:15" x14ac:dyDescent="0.4">
      <c r="B356" s="80">
        <f t="shared" si="41"/>
        <v>0.5</v>
      </c>
      <c r="C356" s="17">
        <f t="shared" si="40"/>
        <v>0.75</v>
      </c>
      <c r="D356" s="85" t="str">
        <f t="shared" si="39"/>
        <v>(0.5,0.750)</v>
      </c>
      <c r="O356" s="66"/>
    </row>
    <row r="357" spans="2:15" x14ac:dyDescent="0.4">
      <c r="B357" s="80">
        <f t="shared" si="41"/>
        <v>0.6</v>
      </c>
      <c r="C357" s="17">
        <f t="shared" si="40"/>
        <v>0.84</v>
      </c>
      <c r="D357" s="85" t="str">
        <f t="shared" si="39"/>
        <v>(0.6,0.840)</v>
      </c>
      <c r="K357" t="s">
        <v>503</v>
      </c>
      <c r="O357" s="66"/>
    </row>
    <row r="358" spans="2:15" x14ac:dyDescent="0.4">
      <c r="B358" s="80">
        <f t="shared" si="41"/>
        <v>0.7</v>
      </c>
      <c r="C358" s="17">
        <f t="shared" si="40"/>
        <v>0.90999999999999992</v>
      </c>
      <c r="D358" s="85" t="str">
        <f t="shared" si="39"/>
        <v>(0.7,0.910)</v>
      </c>
      <c r="L358" t="s">
        <v>504</v>
      </c>
      <c r="M358" t="s">
        <v>505</v>
      </c>
      <c r="N358" t="s">
        <v>506</v>
      </c>
      <c r="O358" s="66"/>
    </row>
    <row r="359" spans="2:15" x14ac:dyDescent="0.4">
      <c r="B359" s="80">
        <f t="shared" si="41"/>
        <v>0.79999999999999993</v>
      </c>
      <c r="C359" s="17">
        <f t="shared" si="40"/>
        <v>0.96</v>
      </c>
      <c r="D359" s="85" t="str">
        <f t="shared" si="39"/>
        <v>(0.8,0.960)</v>
      </c>
      <c r="K359" t="s">
        <v>508</v>
      </c>
      <c r="L359">
        <f xml:space="preserve"> ( (M352 - M353) - (N352 * (L352 - L353)) ) / ((L352^2 - L353^2) - 2*L352*L353*(L352 - L353))</f>
        <v>-1</v>
      </c>
      <c r="M359">
        <f xml:space="preserve"> 2 * L352 * L359 + N352</f>
        <v>2</v>
      </c>
      <c r="N359">
        <f xml:space="preserve"> M352 - L352^2 * L359 - L352 * M359</f>
        <v>0</v>
      </c>
      <c r="O359" s="66"/>
    </row>
    <row r="360" spans="2:15" x14ac:dyDescent="0.4">
      <c r="B360" s="80">
        <f t="shared" si="41"/>
        <v>0.89999999999999991</v>
      </c>
      <c r="C360" s="17">
        <f t="shared" si="40"/>
        <v>0.99</v>
      </c>
      <c r="D360" s="85" t="str">
        <f t="shared" si="39"/>
        <v>(0.9,0.990)</v>
      </c>
      <c r="K360" t="s">
        <v>509</v>
      </c>
      <c r="L360" s="61" t="str">
        <f>"y = " &amp; effect_lookups!L359 &amp; "*x^2 + " &amp; effect_lookups!M359 &amp; "*x + " &amp; effect_lookups!N359</f>
        <v>y = -1*x^2 + 2*x + 0</v>
      </c>
      <c r="O360" s="66"/>
    </row>
    <row r="361" spans="2:15" x14ac:dyDescent="0.4">
      <c r="B361" s="80">
        <f t="shared" si="41"/>
        <v>0.99999999999999989</v>
      </c>
      <c r="C361" s="17">
        <f t="shared" si="40"/>
        <v>1</v>
      </c>
      <c r="D361" s="85" t="str">
        <f t="shared" si="39"/>
        <v>(1,1.000)</v>
      </c>
      <c r="O361" s="66"/>
    </row>
    <row r="362" spans="2:15" x14ac:dyDescent="0.4">
      <c r="B362" s="80">
        <v>2</v>
      </c>
      <c r="C362" s="17">
        <f>C361</f>
        <v>1</v>
      </c>
      <c r="D362" s="85" t="str">
        <f t="shared" si="39"/>
        <v>(2,1.000)</v>
      </c>
      <c r="O362" s="66"/>
    </row>
    <row r="363" spans="2:15" x14ac:dyDescent="0.4">
      <c r="B363" s="80" t="s">
        <v>510</v>
      </c>
      <c r="C363" s="84" t="str">
        <f>_xlfn.TEXTJOIN(",",TRUE,D351:D362)</f>
        <v>(0,0.000),(0.1,0.190),(0.2,0.360),(0.3,0.510),(0.4,0.640),(0.5,0.750),(0.6,0.840),(0.7,0.910),(0.8,0.960),(0.9,0.990),(1,1.000),(2,1.000)</v>
      </c>
      <c r="O363" s="66"/>
    </row>
    <row r="364" spans="2:15" x14ac:dyDescent="0.4">
      <c r="B364" s="80" t="s">
        <v>500</v>
      </c>
      <c r="C364" s="28"/>
      <c r="D364" s="28"/>
      <c r="E364" s="28"/>
      <c r="F364" s="28"/>
      <c r="G364" s="28"/>
      <c r="H364" s="28"/>
      <c r="I364" s="28"/>
      <c r="J364" s="28"/>
      <c r="K364" s="28"/>
      <c r="L364" s="28"/>
      <c r="M364" s="28"/>
      <c r="N364" s="28"/>
      <c r="O364" s="66"/>
    </row>
    <row r="365" spans="2:15" ht="15" thickBot="1" x14ac:dyDescent="0.45">
      <c r="B365" s="83"/>
      <c r="C365" s="67"/>
      <c r="D365" s="67"/>
      <c r="E365" s="67"/>
      <c r="F365" s="67"/>
      <c r="G365" s="67"/>
      <c r="H365" s="67"/>
      <c r="I365" s="67"/>
      <c r="J365" s="67"/>
      <c r="K365" s="67"/>
      <c r="L365" s="67"/>
      <c r="M365" s="67"/>
      <c r="N365" s="67"/>
      <c r="O365" s="68"/>
    </row>
    <row r="366" spans="2:15" x14ac:dyDescent="0.4">
      <c r="B366" s="86" t="s">
        <v>490</v>
      </c>
      <c r="C366" s="94" t="s">
        <v>565</v>
      </c>
      <c r="D366" s="94"/>
      <c r="E366" s="94"/>
      <c r="F366" s="94"/>
      <c r="G366" s="94"/>
      <c r="H366" s="94"/>
      <c r="I366" s="94"/>
      <c r="J366" s="94"/>
      <c r="K366" s="94"/>
      <c r="L366" s="94"/>
      <c r="M366" s="94"/>
      <c r="N366" s="94"/>
      <c r="O366" s="87"/>
    </row>
    <row r="367" spans="2:15" x14ac:dyDescent="0.4">
      <c r="B367" s="80" t="s">
        <v>489</v>
      </c>
      <c r="C367" t="s">
        <v>492</v>
      </c>
      <c r="O367" s="66"/>
    </row>
    <row r="368" spans="2:15" x14ac:dyDescent="0.4">
      <c r="B368" s="80" t="s">
        <v>491</v>
      </c>
      <c r="C368">
        <v>66</v>
      </c>
      <c r="D368">
        <v>34</v>
      </c>
      <c r="E368" s="61" t="s">
        <v>566</v>
      </c>
      <c r="I368">
        <f>D368/C368</f>
        <v>0.51515151515151514</v>
      </c>
      <c r="J368">
        <f>D368*D369</f>
        <v>0.71400000000000008</v>
      </c>
      <c r="O368" s="66"/>
    </row>
    <row r="369" spans="2:15" x14ac:dyDescent="0.4">
      <c r="B369" s="80" t="s">
        <v>493</v>
      </c>
      <c r="C369">
        <v>1.4E-2</v>
      </c>
      <c r="D369">
        <v>2.1000000000000001E-2</v>
      </c>
      <c r="E369" s="61" t="s">
        <v>567</v>
      </c>
      <c r="I369">
        <f>D369/C369</f>
        <v>1.5</v>
      </c>
      <c r="O369" s="66"/>
    </row>
    <row r="370" spans="2:15" x14ac:dyDescent="0.4">
      <c r="B370" s="80" t="s">
        <v>568</v>
      </c>
      <c r="C370">
        <v>1.5</v>
      </c>
      <c r="D370" s="61" t="s">
        <v>570</v>
      </c>
      <c r="O370" s="66"/>
    </row>
    <row r="371" spans="2:15" x14ac:dyDescent="0.4">
      <c r="B371" s="80" t="s">
        <v>497</v>
      </c>
      <c r="C371">
        <v>1</v>
      </c>
      <c r="D371" s="61" t="s">
        <v>544</v>
      </c>
      <c r="O371" s="66"/>
    </row>
    <row r="372" spans="2:15" x14ac:dyDescent="0.4">
      <c r="B372" s="80" t="s">
        <v>569</v>
      </c>
      <c r="C372" s="23">
        <f>1/1.5</f>
        <v>0.66666666666666663</v>
      </c>
      <c r="D372" s="61" t="s">
        <v>570</v>
      </c>
      <c r="O372" s="66"/>
    </row>
    <row r="373" spans="2:15" x14ac:dyDescent="0.4">
      <c r="B373" s="80" t="s">
        <v>498</v>
      </c>
      <c r="O373" s="66"/>
    </row>
    <row r="374" spans="2:15" x14ac:dyDescent="0.4">
      <c r="B374" s="80" t="s">
        <v>572</v>
      </c>
      <c r="C374" t="s">
        <v>571</v>
      </c>
      <c r="O374" s="66"/>
    </row>
    <row r="375" spans="2:15" x14ac:dyDescent="0.4">
      <c r="B375" s="80">
        <v>0</v>
      </c>
      <c r="C375">
        <v>1.5</v>
      </c>
      <c r="D375" s="85" t="str">
        <f t="shared" ref="D375:D380" si="42">"("&amp;_xlfn.TEXTJOIN(",",TRUE,$B375,TEXT($C375,"0.000")&amp;")")</f>
        <v>(0,1.500)</v>
      </c>
      <c r="O375" s="66"/>
    </row>
    <row r="376" spans="2:15" x14ac:dyDescent="0.4">
      <c r="B376" s="80">
        <v>0.5</v>
      </c>
      <c r="C376" s="23">
        <v>1.5</v>
      </c>
      <c r="D376" s="85" t="str">
        <f t="shared" si="42"/>
        <v>(0.5,1.500)</v>
      </c>
      <c r="O376" s="66"/>
    </row>
    <row r="377" spans="2:15" x14ac:dyDescent="0.4">
      <c r="B377" s="80">
        <v>1</v>
      </c>
      <c r="C377" s="17">
        <v>1</v>
      </c>
      <c r="D377" s="85" t="str">
        <f t="shared" si="42"/>
        <v>(1,1.000)</v>
      </c>
      <c r="O377" s="66"/>
    </row>
    <row r="378" spans="2:15" x14ac:dyDescent="0.4">
      <c r="B378" s="80">
        <v>2</v>
      </c>
      <c r="C378" s="17">
        <v>0.67</v>
      </c>
      <c r="D378" s="85" t="str">
        <f t="shared" si="42"/>
        <v>(2,0.670)</v>
      </c>
      <c r="O378" s="66"/>
    </row>
    <row r="379" spans="2:15" x14ac:dyDescent="0.4">
      <c r="B379" s="80">
        <v>4</v>
      </c>
      <c r="C379" s="17">
        <f>C378/$C$370</f>
        <v>0.44666666666666671</v>
      </c>
      <c r="D379" s="85" t="str">
        <f t="shared" si="42"/>
        <v>(4,0.447)</v>
      </c>
      <c r="O379" s="66"/>
    </row>
    <row r="380" spans="2:15" x14ac:dyDescent="0.4">
      <c r="B380" s="80">
        <v>8</v>
      </c>
      <c r="C380" s="17">
        <f>C379/$C$370</f>
        <v>0.29777777777777781</v>
      </c>
      <c r="D380" s="85" t="str">
        <f t="shared" si="42"/>
        <v>(8,0.298)</v>
      </c>
      <c r="O380" s="66"/>
    </row>
    <row r="381" spans="2:15" x14ac:dyDescent="0.4">
      <c r="B381" s="80" t="s">
        <v>510</v>
      </c>
      <c r="C381" s="84" t="str">
        <f>_xlfn.TEXTJOIN(",",TRUE,D375:D380)</f>
        <v>(0,1.500),(0.5,1.500),(1,1.000),(2,0.670),(4,0.447),(8,0.298)</v>
      </c>
      <c r="O381" s="66"/>
    </row>
    <row r="382" spans="2:15" x14ac:dyDescent="0.4">
      <c r="B382" s="80" t="s">
        <v>500</v>
      </c>
      <c r="C382" s="28"/>
      <c r="D382" s="28"/>
      <c r="E382" s="28"/>
      <c r="F382" s="28"/>
      <c r="G382" s="28"/>
      <c r="H382" s="28"/>
      <c r="I382" s="28"/>
      <c r="J382" s="28"/>
      <c r="K382" s="28"/>
      <c r="L382" s="28"/>
      <c r="M382" s="28"/>
      <c r="N382" s="28"/>
      <c r="O382" s="66"/>
    </row>
    <row r="383" spans="2:15" ht="15" thickBot="1" x14ac:dyDescent="0.45">
      <c r="B383" s="83"/>
      <c r="C383" s="67"/>
      <c r="D383" s="67"/>
      <c r="E383" s="67"/>
      <c r="F383" s="67"/>
      <c r="G383" s="67"/>
      <c r="H383" s="67"/>
      <c r="I383" s="67"/>
      <c r="J383" s="67"/>
      <c r="K383" s="67"/>
      <c r="L383" s="67"/>
      <c r="M383" s="67"/>
      <c r="N383" s="67"/>
      <c r="O383" s="68"/>
    </row>
  </sheetData>
  <mergeCells count="11">
    <mergeCell ref="C197:N197"/>
    <mergeCell ref="C29:N29"/>
    <mergeCell ref="C7:N7"/>
    <mergeCell ref="C31:N31"/>
    <mergeCell ref="C174:N174"/>
    <mergeCell ref="C54:N54"/>
    <mergeCell ref="C77:N77"/>
    <mergeCell ref="C79:N79"/>
    <mergeCell ref="C127:N127"/>
    <mergeCell ref="C151:N151"/>
    <mergeCell ref="C103:N103"/>
  </mergeCells>
  <phoneticPr fontId="14"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465AD-977A-4BE3-B1A1-D8331100A17B}">
  <sheetPr codeName="Sheet9"/>
  <dimension ref="B2:Q62"/>
  <sheetViews>
    <sheetView topLeftCell="A37" workbookViewId="0">
      <selection activeCell="F44" sqref="F44"/>
    </sheetView>
  </sheetViews>
  <sheetFormatPr defaultRowHeight="14.6" x14ac:dyDescent="0.4"/>
  <cols>
    <col min="1" max="1" width="4" customWidth="1"/>
  </cols>
  <sheetData>
    <row r="2" spans="2:17" ht="28.75" customHeight="1" x14ac:dyDescent="0.55000000000000004">
      <c r="B2" s="159" t="s">
        <v>891</v>
      </c>
    </row>
    <row r="3" spans="2:17" x14ac:dyDescent="0.4">
      <c r="B3" t="s">
        <v>892</v>
      </c>
    </row>
    <row r="4" spans="2:17" x14ac:dyDescent="0.4">
      <c r="B4" t="s">
        <v>893</v>
      </c>
    </row>
    <row r="5" spans="2:17" x14ac:dyDescent="0.4">
      <c r="B5" t="s">
        <v>921</v>
      </c>
    </row>
    <row r="6" spans="2:17" x14ac:dyDescent="0.4">
      <c r="B6" t="s">
        <v>920</v>
      </c>
    </row>
    <row r="7" spans="2:17" ht="15" thickBot="1" x14ac:dyDescent="0.45"/>
    <row r="8" spans="2:17" ht="15" thickBot="1" x14ac:dyDescent="0.45">
      <c r="B8" s="86" t="s">
        <v>598</v>
      </c>
      <c r="C8" s="98"/>
      <c r="D8" s="86"/>
      <c r="E8" s="98"/>
      <c r="F8" s="98"/>
      <c r="G8" s="98"/>
      <c r="H8" s="98"/>
      <c r="I8" s="98"/>
      <c r="J8" s="98"/>
      <c r="K8" s="160"/>
      <c r="L8" s="160"/>
      <c r="M8" s="160"/>
      <c r="N8" s="160"/>
      <c r="O8" s="160"/>
      <c r="P8" s="160"/>
      <c r="Q8" s="152"/>
    </row>
    <row r="9" spans="2:17" x14ac:dyDescent="0.4">
      <c r="B9" s="164" t="s">
        <v>897</v>
      </c>
      <c r="C9" s="165"/>
      <c r="D9" s="166"/>
      <c r="E9" s="163"/>
      <c r="F9" s="163"/>
      <c r="G9" s="163"/>
      <c r="H9" s="163"/>
      <c r="I9" s="163"/>
      <c r="J9" s="163"/>
      <c r="Q9" s="66"/>
    </row>
    <row r="10" spans="2:17" x14ac:dyDescent="0.4">
      <c r="B10" s="80"/>
      <c r="D10" s="80" t="s">
        <v>901</v>
      </c>
      <c r="E10" t="s">
        <v>902</v>
      </c>
      <c r="F10" t="s">
        <v>908</v>
      </c>
      <c r="Q10" s="66"/>
    </row>
    <row r="11" spans="2:17" x14ac:dyDescent="0.4">
      <c r="B11" s="80" t="s">
        <v>903</v>
      </c>
      <c r="D11" s="80">
        <v>0</v>
      </c>
      <c r="E11">
        <f>D11</f>
        <v>0</v>
      </c>
      <c r="F11">
        <f t="shared" ref="F11:F22" si="0">D11*($C$21+$C$22*EXP($C$23*D11))</f>
        <v>0</v>
      </c>
      <c r="G11" s="85" t="str">
        <f t="shared" ref="G11:G22" si="1">"("&amp;_xlfn.TEXTJOIN(",",TRUE,$D11,TEXT($E11,"0.000")&amp;")")</f>
        <v>(0,0.000)</v>
      </c>
      <c r="H11" s="85" t="str">
        <f t="shared" ref="H11:H22" si="2">"("&amp;_xlfn.TEXTJOIN(",",TRUE,$D11,TEXT($F11,"0.000")&amp;")")</f>
        <v>(0,0.000)</v>
      </c>
      <c r="Q11" s="66"/>
    </row>
    <row r="12" spans="2:17" x14ac:dyDescent="0.4">
      <c r="B12" s="80"/>
      <c r="D12" s="80">
        <v>1</v>
      </c>
      <c r="E12">
        <f t="shared" ref="E12:E22" si="3">D12</f>
        <v>1</v>
      </c>
      <c r="F12">
        <f t="shared" si="0"/>
        <v>2.0002225540928493</v>
      </c>
      <c r="G12" s="85" t="str">
        <f t="shared" si="1"/>
        <v>(1,1.000)</v>
      </c>
      <c r="H12" s="85" t="str">
        <f t="shared" si="2"/>
        <v>(1,2.000)</v>
      </c>
      <c r="Q12" s="66"/>
    </row>
    <row r="13" spans="2:17" x14ac:dyDescent="0.4">
      <c r="B13" s="80"/>
      <c r="D13" s="80">
        <v>2</v>
      </c>
      <c r="E13">
        <f t="shared" si="3"/>
        <v>2</v>
      </c>
      <c r="F13">
        <f t="shared" si="0"/>
        <v>4.000990606484879</v>
      </c>
      <c r="G13" s="85" t="str">
        <f t="shared" si="1"/>
        <v>(2,2.000)</v>
      </c>
      <c r="H13" s="85" t="str">
        <f t="shared" si="2"/>
        <v>(2,4.001)</v>
      </c>
      <c r="Q13" s="66"/>
    </row>
    <row r="14" spans="2:17" x14ac:dyDescent="0.4">
      <c r="B14" s="80"/>
      <c r="D14" s="80">
        <v>3</v>
      </c>
      <c r="E14">
        <f t="shared" si="3"/>
        <v>3</v>
      </c>
      <c r="F14">
        <f t="shared" si="0"/>
        <v>6.0033069529141923</v>
      </c>
      <c r="G14" s="85" t="str">
        <f t="shared" si="1"/>
        <v>(3,3.000)</v>
      </c>
      <c r="H14" s="85" t="str">
        <f t="shared" si="2"/>
        <v>(3,6.003)</v>
      </c>
      <c r="Q14" s="66"/>
    </row>
    <row r="15" spans="2:17" x14ac:dyDescent="0.4">
      <c r="B15" s="80"/>
      <c r="D15" s="80">
        <v>4</v>
      </c>
      <c r="E15">
        <f t="shared" si="3"/>
        <v>4</v>
      </c>
      <c r="F15">
        <f t="shared" si="0"/>
        <v>8.009813012078844</v>
      </c>
      <c r="G15" s="85" t="str">
        <f t="shared" si="1"/>
        <v>(4,4.000)</v>
      </c>
      <c r="H15" s="85" t="str">
        <f t="shared" si="2"/>
        <v>(4,8.010)</v>
      </c>
      <c r="Q15" s="66"/>
    </row>
    <row r="16" spans="2:17" x14ac:dyDescent="0.4">
      <c r="B16" s="80"/>
      <c r="D16" s="80">
        <v>5</v>
      </c>
      <c r="E16">
        <f t="shared" si="3"/>
        <v>5</v>
      </c>
      <c r="F16">
        <f t="shared" si="0"/>
        <v>10.027299075016572</v>
      </c>
      <c r="G16" s="85" t="str">
        <f t="shared" si="1"/>
        <v>(5,5.000)</v>
      </c>
      <c r="H16" s="85" t="str">
        <f t="shared" si="2"/>
        <v>(5,10.027)</v>
      </c>
      <c r="Q16" s="66"/>
    </row>
    <row r="17" spans="2:17" x14ac:dyDescent="0.4">
      <c r="B17" s="80"/>
      <c r="D17" s="80">
        <v>6</v>
      </c>
      <c r="E17">
        <f t="shared" si="3"/>
        <v>6</v>
      </c>
      <c r="F17">
        <f t="shared" si="0"/>
        <v>12.07290625051124</v>
      </c>
      <c r="G17" s="85" t="str">
        <f t="shared" si="1"/>
        <v>(6,6.000)</v>
      </c>
      <c r="H17" s="85" t="str">
        <f t="shared" si="2"/>
        <v>(6,12.073)</v>
      </c>
      <c r="Q17" s="66"/>
    </row>
    <row r="18" spans="2:17" x14ac:dyDescent="0.4">
      <c r="B18" s="161" t="s">
        <v>898</v>
      </c>
      <c r="C18" s="162"/>
      <c r="D18" s="80">
        <v>7</v>
      </c>
      <c r="E18">
        <f t="shared" si="3"/>
        <v>7</v>
      </c>
      <c r="F18">
        <f t="shared" si="0"/>
        <v>14.189298485198307</v>
      </c>
      <c r="G18" s="85" t="str">
        <f t="shared" si="1"/>
        <v>(7,7.000)</v>
      </c>
      <c r="H18" s="85" t="str">
        <f t="shared" si="2"/>
        <v>(7,14.189)</v>
      </c>
      <c r="Q18" s="66"/>
    </row>
    <row r="19" spans="2:17" x14ac:dyDescent="0.4">
      <c r="B19" s="80"/>
      <c r="D19" s="80">
        <v>8</v>
      </c>
      <c r="E19">
        <f t="shared" si="3"/>
        <v>8</v>
      </c>
      <c r="F19">
        <f t="shared" si="0"/>
        <v>16.481476030297667</v>
      </c>
      <c r="G19" s="85" t="str">
        <f t="shared" si="1"/>
        <v>(8,8.000)</v>
      </c>
      <c r="H19" s="85" t="str">
        <f t="shared" si="2"/>
        <v>(8,16.481)</v>
      </c>
      <c r="I19" s="163"/>
      <c r="Q19" s="66"/>
    </row>
    <row r="20" spans="2:17" x14ac:dyDescent="0.4">
      <c r="B20" s="80" t="s">
        <v>899</v>
      </c>
      <c r="C20" t="s">
        <v>900</v>
      </c>
      <c r="D20" s="80">
        <v>9</v>
      </c>
      <c r="E20">
        <f t="shared" si="3"/>
        <v>9</v>
      </c>
      <c r="F20">
        <f t="shared" si="0"/>
        <v>19.205487687954978</v>
      </c>
      <c r="G20" s="85" t="str">
        <f t="shared" si="1"/>
        <v>(9,9.000)</v>
      </c>
      <c r="H20" s="85" t="str">
        <f t="shared" si="2"/>
        <v>(9,19.205)</v>
      </c>
      <c r="Q20" s="66"/>
    </row>
    <row r="21" spans="2:17" x14ac:dyDescent="0.4">
      <c r="B21" s="80" t="s">
        <v>635</v>
      </c>
      <c r="C21">
        <v>2</v>
      </c>
      <c r="D21" s="80">
        <v>10</v>
      </c>
      <c r="E21">
        <f t="shared" si="3"/>
        <v>10</v>
      </c>
      <c r="F21">
        <f t="shared" si="0"/>
        <v>22.98095798704173</v>
      </c>
      <c r="G21" s="85" t="str">
        <f t="shared" si="1"/>
        <v>(10,10.000)</v>
      </c>
      <c r="H21" s="85" t="str">
        <f t="shared" si="2"/>
        <v>(10,22.981)</v>
      </c>
      <c r="Q21" s="66"/>
    </row>
    <row r="22" spans="2:17" x14ac:dyDescent="0.4">
      <c r="B22" s="80" t="s">
        <v>637</v>
      </c>
      <c r="C22">
        <v>1E-4</v>
      </c>
      <c r="D22" s="80">
        <v>10.5</v>
      </c>
      <c r="E22">
        <f t="shared" si="3"/>
        <v>10.5</v>
      </c>
      <c r="F22">
        <f t="shared" si="0"/>
        <v>25.669420085084852</v>
      </c>
      <c r="G22" s="85" t="str">
        <f t="shared" si="1"/>
        <v>(10.5,10.500)</v>
      </c>
      <c r="H22" s="85" t="str">
        <f t="shared" si="2"/>
        <v>(10.5,25.669)</v>
      </c>
      <c r="Q22" s="66"/>
    </row>
    <row r="23" spans="2:17" x14ac:dyDescent="0.4">
      <c r="B23" s="80" t="s">
        <v>636</v>
      </c>
      <c r="C23">
        <v>0.8</v>
      </c>
      <c r="D23" s="80">
        <v>11</v>
      </c>
      <c r="E23">
        <f t="shared" ref="E23:E33" si="4">D23</f>
        <v>11</v>
      </c>
      <c r="F23">
        <f t="shared" ref="F23:F29" si="5">D23*($C$21+$C$22*EXP($C$23*D23))</f>
        <v>29.297668406905675</v>
      </c>
      <c r="G23" s="85" t="str">
        <f t="shared" ref="G23:G33" si="6">"("&amp;_xlfn.TEXTJOIN(",",TRUE,$D23,TEXT($E23,"0.000")&amp;")")</f>
        <v>(11,11.000)</v>
      </c>
      <c r="H23" s="85" t="str">
        <f t="shared" ref="H23:H34" si="7">"("&amp;_xlfn.TEXTJOIN(",",TRUE,$D23,TEXT($F23,"0.000")&amp;")")</f>
        <v>(11,29.298)</v>
      </c>
      <c r="Q23" s="66"/>
    </row>
    <row r="24" spans="2:17" x14ac:dyDescent="0.4">
      <c r="B24" s="80"/>
      <c r="D24" s="80">
        <v>11.5</v>
      </c>
      <c r="E24">
        <f t="shared" si="4"/>
        <v>11.5</v>
      </c>
      <c r="F24">
        <f t="shared" si="5"/>
        <v>34.381698417555519</v>
      </c>
      <c r="G24" s="85" t="str">
        <f t="shared" si="6"/>
        <v>(11.5,11.500)</v>
      </c>
      <c r="H24" s="85" t="str">
        <f t="shared" si="7"/>
        <v>(11.5,34.382)</v>
      </c>
      <c r="Q24" s="66"/>
    </row>
    <row r="25" spans="2:17" x14ac:dyDescent="0.4">
      <c r="B25" s="80"/>
      <c r="D25" s="80">
        <v>12</v>
      </c>
      <c r="E25">
        <f t="shared" si="4"/>
        <v>12</v>
      </c>
      <c r="F25">
        <f t="shared" si="5"/>
        <v>41.717737878692759</v>
      </c>
      <c r="G25" s="85" t="str">
        <f t="shared" si="6"/>
        <v>(12,12.000)</v>
      </c>
      <c r="H25" s="85" t="str">
        <f t="shared" si="7"/>
        <v>(12,41.718)</v>
      </c>
      <c r="Q25" s="66"/>
    </row>
    <row r="26" spans="2:17" x14ac:dyDescent="0.4">
      <c r="B26" s="80"/>
      <c r="D26" s="80">
        <v>12.5</v>
      </c>
      <c r="E26">
        <f t="shared" si="4"/>
        <v>12.5</v>
      </c>
      <c r="F26">
        <f t="shared" si="5"/>
        <v>52.533082243508403</v>
      </c>
      <c r="G26" s="85" t="str">
        <f t="shared" si="6"/>
        <v>(12.5,12.500)</v>
      </c>
      <c r="H26" s="85" t="str">
        <f t="shared" si="7"/>
        <v>(12.5,52.533)</v>
      </c>
      <c r="Q26" s="66"/>
    </row>
    <row r="27" spans="2:17" x14ac:dyDescent="0.4">
      <c r="B27" s="80"/>
      <c r="D27" s="80">
        <v>13</v>
      </c>
      <c r="E27">
        <f t="shared" si="4"/>
        <v>13</v>
      </c>
      <c r="F27">
        <f t="shared" si="5"/>
        <v>68.717513376776324</v>
      </c>
      <c r="G27" s="85" t="str">
        <f t="shared" si="6"/>
        <v>(13,13.000)</v>
      </c>
      <c r="H27" s="85" t="str">
        <f t="shared" si="7"/>
        <v>(13,68.718)</v>
      </c>
      <c r="J27" t="s">
        <v>958</v>
      </c>
      <c r="Q27" s="66"/>
    </row>
    <row r="28" spans="2:17" x14ac:dyDescent="0.4">
      <c r="B28" s="80"/>
      <c r="D28" s="80">
        <v>13.5</v>
      </c>
      <c r="E28">
        <f t="shared" si="4"/>
        <v>13.5</v>
      </c>
      <c r="F28">
        <f t="shared" si="5"/>
        <v>93.178081534115364</v>
      </c>
      <c r="G28" s="85" t="str">
        <f t="shared" si="6"/>
        <v>(13.5,13.500)</v>
      </c>
      <c r="H28" s="85" t="str">
        <f t="shared" si="7"/>
        <v>(13.5,93.178)</v>
      </c>
      <c r="Q28" s="66"/>
    </row>
    <row r="29" spans="2:17" x14ac:dyDescent="0.4">
      <c r="B29" s="80"/>
      <c r="D29" s="80">
        <v>14</v>
      </c>
      <c r="E29">
        <f t="shared" si="4"/>
        <v>14</v>
      </c>
      <c r="F29">
        <f t="shared" si="5"/>
        <v>130.38261856678182</v>
      </c>
      <c r="G29" s="85" t="str">
        <f t="shared" si="6"/>
        <v>(14,14.000)</v>
      </c>
      <c r="H29" s="85" t="str">
        <f t="shared" si="7"/>
        <v>(14,130.383)</v>
      </c>
      <c r="Q29" s="66"/>
    </row>
    <row r="30" spans="2:17" x14ac:dyDescent="0.4">
      <c r="B30" s="80"/>
      <c r="D30" s="80">
        <v>14.5</v>
      </c>
      <c r="E30">
        <f t="shared" si="4"/>
        <v>14.5</v>
      </c>
      <c r="F30">
        <v>145</v>
      </c>
      <c r="G30" s="85" t="str">
        <f t="shared" si="6"/>
        <v>(14.5,14.500)</v>
      </c>
      <c r="H30" s="85" t="str">
        <f t="shared" si="7"/>
        <v>(14.5,145.000)</v>
      </c>
      <c r="Q30" s="66"/>
    </row>
    <row r="31" spans="2:17" x14ac:dyDescent="0.4">
      <c r="B31" s="80"/>
      <c r="D31" s="80">
        <v>15</v>
      </c>
      <c r="E31">
        <f t="shared" si="4"/>
        <v>15</v>
      </c>
      <c r="F31">
        <v>155</v>
      </c>
      <c r="G31" s="85" t="str">
        <f t="shared" si="6"/>
        <v>(15,15.000)</v>
      </c>
      <c r="H31" s="85" t="str">
        <f t="shared" si="7"/>
        <v>(15,155.000)</v>
      </c>
      <c r="Q31" s="66"/>
    </row>
    <row r="32" spans="2:17" x14ac:dyDescent="0.4">
      <c r="B32" s="80"/>
      <c r="D32" s="80">
        <v>15.5</v>
      </c>
      <c r="E32">
        <f t="shared" si="4"/>
        <v>15.5</v>
      </c>
      <c r="F32">
        <v>160</v>
      </c>
      <c r="G32" s="85" t="str">
        <f t="shared" si="6"/>
        <v>(15.5,15.500)</v>
      </c>
      <c r="H32" s="85" t="str">
        <f t="shared" si="7"/>
        <v>(15.5,160.000)</v>
      </c>
      <c r="Q32" s="66"/>
    </row>
    <row r="33" spans="2:17" x14ac:dyDescent="0.4">
      <c r="B33" s="80"/>
      <c r="D33" s="80">
        <v>16</v>
      </c>
      <c r="E33">
        <f t="shared" si="4"/>
        <v>16</v>
      </c>
      <c r="F33">
        <v>162</v>
      </c>
      <c r="G33" s="85" t="str">
        <f t="shared" si="6"/>
        <v>(16,16.000)</v>
      </c>
      <c r="H33" s="85" t="str">
        <f t="shared" si="7"/>
        <v>(16,162.000)</v>
      </c>
      <c r="Q33" s="66"/>
    </row>
    <row r="34" spans="2:17" x14ac:dyDescent="0.4">
      <c r="B34" s="80"/>
      <c r="D34" s="80">
        <v>25</v>
      </c>
      <c r="E34">
        <f>D34</f>
        <v>25</v>
      </c>
      <c r="F34">
        <v>162</v>
      </c>
      <c r="G34" s="85" t="str">
        <f>"("&amp;_xlfn.TEXTJOIN(",",TRUE,$D34,TEXT($E34,"0.000")&amp;")")</f>
        <v>(25,25.000)</v>
      </c>
      <c r="H34" s="85" t="str">
        <f t="shared" si="7"/>
        <v>(25,162.000)</v>
      </c>
      <c r="Q34" s="66"/>
    </row>
    <row r="35" spans="2:17" x14ac:dyDescent="0.4">
      <c r="B35" s="80"/>
      <c r="D35" s="80" t="s">
        <v>510</v>
      </c>
      <c r="E35" s="84" t="str">
        <f>_xlfn.TEXTJOIN(",",TRUE,G11:G34)</f>
        <v>(0,0.000),(1,1.000),(2,2.000),(3,3.000),(4,4.000),(5,5.000),(6,6.000),(7,7.000),(8,8.000),(9,9.000),(10,10.000),(10.5,10.500),(11,11.000),(11.5,11.500),(12,12.000),(12.5,12.500),(13,13.000),(13.5,13.500),(14,14.000),(14.5,14.500),(15,15.000),(15.5,15.500),(16,16.000),(25,25.000)</v>
      </c>
      <c r="F35" s="84" t="str">
        <f>_xlfn.TEXTJOIN(",",TRUE,H11:H34)</f>
        <v>(0,0.000),(1,2.000),(2,4.001),(3,6.003),(4,8.010),(5,10.027),(6,12.073),(7,14.189),(8,16.481),(9,19.205),(10,22.981),(10.5,25.669),(11,29.298),(11.5,34.382),(12,41.718),(12.5,52.533),(13,68.718),(13.5,93.178),(14,130.383),(14.5,145.000),(15,155.000),(15.5,160.000),(16,162.000),(25,162.000)</v>
      </c>
      <c r="Q35" s="66"/>
    </row>
    <row r="36" spans="2:17" ht="15" thickBot="1" x14ac:dyDescent="0.45">
      <c r="B36" s="80"/>
      <c r="D36" s="80"/>
      <c r="F36" s="84"/>
      <c r="G36" s="84"/>
      <c r="Q36" s="66"/>
    </row>
    <row r="37" spans="2:17" ht="15" thickBot="1" x14ac:dyDescent="0.45">
      <c r="B37" s="86" t="s">
        <v>907</v>
      </c>
      <c r="C37" s="98"/>
      <c r="D37" s="86"/>
      <c r="E37" s="98"/>
      <c r="F37" s="98"/>
      <c r="G37" s="98"/>
      <c r="H37" s="98"/>
      <c r="I37" s="98"/>
      <c r="J37" s="98"/>
      <c r="K37" s="160"/>
      <c r="L37" s="160"/>
      <c r="M37" s="160"/>
      <c r="N37" s="160"/>
      <c r="O37" s="160"/>
      <c r="P37" s="160"/>
      <c r="Q37" s="152"/>
    </row>
    <row r="38" spans="2:17" x14ac:dyDescent="0.4">
      <c r="B38" s="164" t="s">
        <v>897</v>
      </c>
      <c r="C38" s="165"/>
      <c r="D38" s="80"/>
      <c r="Q38" s="66"/>
    </row>
    <row r="39" spans="2:17" x14ac:dyDescent="0.4">
      <c r="B39" s="80"/>
      <c r="D39" s="80" t="s">
        <v>901</v>
      </c>
      <c r="E39" t="s">
        <v>902</v>
      </c>
      <c r="F39" t="s">
        <v>906</v>
      </c>
      <c r="G39" t="s">
        <v>904</v>
      </c>
      <c r="H39" t="s">
        <v>905</v>
      </c>
      <c r="Q39" s="66"/>
    </row>
    <row r="40" spans="2:17" x14ac:dyDescent="0.4">
      <c r="B40" s="80" t="s">
        <v>903</v>
      </c>
      <c r="D40" s="80">
        <v>0</v>
      </c>
      <c r="E40">
        <f>D40</f>
        <v>0</v>
      </c>
      <c r="F40">
        <f>$C$45+$C$46*EXP($C$47*D40)</f>
        <v>0.84367400000000004</v>
      </c>
      <c r="G40">
        <f t="shared" ref="G40:G58" si="8">$D40*($C$52+$C$53*EXP($C$54*$D40))</f>
        <v>0</v>
      </c>
      <c r="H40">
        <f t="shared" ref="H40:H58" si="9">$D40*($C$59+$C$60*EXP($C$61*$D40))</f>
        <v>0</v>
      </c>
      <c r="I40" s="85" t="str">
        <f t="shared" ref="I40:I50" si="10">"("&amp;_xlfn.TEXTJOIN(",",TRUE,$D40,TEXT(E40,"0.000")&amp;")")</f>
        <v>(0,0.000)</v>
      </c>
      <c r="J40" s="85" t="str">
        <f t="shared" ref="J40:J50" si="11">"("&amp;_xlfn.TEXTJOIN(",",TRUE,$D40,TEXT($F40,"0.000")&amp;")")</f>
        <v>(0,0.844)</v>
      </c>
      <c r="K40" s="85" t="str">
        <f t="shared" ref="K40:K50" si="12">"("&amp;_xlfn.TEXTJOIN(",",TRUE,$D40,TEXT($G40,"0.000")&amp;")")</f>
        <v>(0,0.000)</v>
      </c>
      <c r="L40" s="85" t="str">
        <f t="shared" ref="L40:L50" si="13">"("&amp;_xlfn.TEXTJOIN(",",TRUE,$D40,TEXT($H40,"0.000")&amp;")")</f>
        <v>(0,0.000)</v>
      </c>
      <c r="Q40" s="66"/>
    </row>
    <row r="41" spans="2:17" ht="15" thickBot="1" x14ac:dyDescent="0.45">
      <c r="B41" s="80"/>
      <c r="D41" s="80">
        <v>1</v>
      </c>
      <c r="E41">
        <f t="shared" ref="E41" si="14">D41</f>
        <v>1</v>
      </c>
      <c r="F41">
        <f t="shared" ref="F41" si="15">D41*($C$45+$C$46*EXP($C$47*D41))</f>
        <v>0.95584800616759935</v>
      </c>
      <c r="G41">
        <f t="shared" si="8"/>
        <v>1.2643572240560534</v>
      </c>
      <c r="H41">
        <f t="shared" si="9"/>
        <v>1.5069307673213665</v>
      </c>
      <c r="I41" s="85" t="str">
        <f t="shared" si="10"/>
        <v>(1,1.000)</v>
      </c>
      <c r="J41" s="85" t="str">
        <f t="shared" si="11"/>
        <v>(1,0.956)</v>
      </c>
      <c r="K41" s="85" t="str">
        <f t="shared" si="12"/>
        <v>(1,1.264)</v>
      </c>
      <c r="L41" s="85" t="str">
        <f t="shared" si="13"/>
        <v>(1,1.507)</v>
      </c>
      <c r="Q41" s="66"/>
    </row>
    <row r="42" spans="2:17" x14ac:dyDescent="0.4">
      <c r="B42" s="164" t="s">
        <v>906</v>
      </c>
      <c r="C42" s="165"/>
      <c r="D42" s="80">
        <v>2</v>
      </c>
      <c r="E42">
        <f t="shared" ref="E42:E51" si="16">D42</f>
        <v>2</v>
      </c>
      <c r="F42">
        <f t="shared" ref="F42:F51" si="17">D42*($C$45+$C$46*EXP($C$47*D42))</f>
        <v>2.2277251675669065</v>
      </c>
      <c r="G42">
        <f t="shared" si="8"/>
        <v>3.1000006080793923</v>
      </c>
      <c r="H42">
        <f t="shared" si="9"/>
        <v>3.6000014418211586</v>
      </c>
      <c r="I42" s="85" t="str">
        <f t="shared" si="10"/>
        <v>(2,2.000)</v>
      </c>
      <c r="J42" s="85" t="str">
        <f t="shared" si="11"/>
        <v>(2,2.228)</v>
      </c>
      <c r="K42" s="85" t="str">
        <f t="shared" si="12"/>
        <v>(2,3.100)</v>
      </c>
      <c r="L42" s="85" t="str">
        <f t="shared" si="13"/>
        <v>(2,3.600)</v>
      </c>
      <c r="Q42" s="66"/>
    </row>
    <row r="43" spans="2:17" x14ac:dyDescent="0.4">
      <c r="B43" s="80"/>
      <c r="D43" s="80">
        <f>D42+0.5</f>
        <v>2.5</v>
      </c>
      <c r="E43">
        <f t="shared" si="16"/>
        <v>2.5</v>
      </c>
      <c r="F43">
        <f t="shared" si="17"/>
        <v>3.0391164432735378</v>
      </c>
      <c r="G43">
        <f t="shared" si="8"/>
        <v>4.3264672142909877</v>
      </c>
      <c r="H43">
        <f t="shared" si="9"/>
        <v>4.9716446543187702</v>
      </c>
      <c r="I43" s="85" t="str">
        <f t="shared" si="10"/>
        <v>(2.5,2.500)</v>
      </c>
      <c r="J43" s="85" t="str">
        <f t="shared" si="11"/>
        <v>(2.5,3.039)</v>
      </c>
      <c r="K43" s="85" t="str">
        <f t="shared" si="12"/>
        <v>(2.5,4.326)</v>
      </c>
      <c r="L43" s="85" t="str">
        <f t="shared" si="13"/>
        <v>(2.5,4.972)</v>
      </c>
      <c r="Q43" s="66"/>
    </row>
    <row r="44" spans="2:17" x14ac:dyDescent="0.4">
      <c r="B44" s="80" t="s">
        <v>899</v>
      </c>
      <c r="C44" t="s">
        <v>900</v>
      </c>
      <c r="D44" s="80">
        <f t="shared" ref="D44:D58" si="18">D43+0.5</f>
        <v>3</v>
      </c>
      <c r="E44">
        <f t="shared" si="16"/>
        <v>3</v>
      </c>
      <c r="F44">
        <f t="shared" si="17"/>
        <v>4.0093522609412302</v>
      </c>
      <c r="G44">
        <f t="shared" si="8"/>
        <v>5.8265693156642948</v>
      </c>
      <c r="H44">
        <f t="shared" si="9"/>
        <v>6.6374095073949544</v>
      </c>
      <c r="I44" s="85" t="str">
        <f t="shared" si="10"/>
        <v>(3,3.000)</v>
      </c>
      <c r="J44" s="85" t="str">
        <f t="shared" si="11"/>
        <v>(3,4.009)</v>
      </c>
      <c r="K44" s="85" t="str">
        <f t="shared" si="12"/>
        <v>(3,5.827)</v>
      </c>
      <c r="L44" s="85" t="str">
        <f t="shared" si="13"/>
        <v>(3,6.637)</v>
      </c>
      <c r="Q44" s="66"/>
    </row>
    <row r="45" spans="2:17" x14ac:dyDescent="0.4">
      <c r="B45" s="80" t="s">
        <v>635</v>
      </c>
      <c r="C45">
        <v>0.56917899999999999</v>
      </c>
      <c r="D45" s="80">
        <f t="shared" si="18"/>
        <v>3.5</v>
      </c>
      <c r="E45">
        <f t="shared" si="16"/>
        <v>3.5</v>
      </c>
      <c r="F45">
        <f t="shared" si="17"/>
        <v>5.1794028246409782</v>
      </c>
      <c r="G45">
        <f t="shared" si="8"/>
        <v>7.6654763810716382</v>
      </c>
      <c r="H45">
        <f t="shared" si="9"/>
        <v>8.6729561827074448</v>
      </c>
      <c r="I45" s="85" t="str">
        <f t="shared" si="10"/>
        <v>(3.5,3.500)</v>
      </c>
      <c r="J45" s="85" t="str">
        <f t="shared" si="11"/>
        <v>(3.5,5.179)</v>
      </c>
      <c r="K45" s="85" t="str">
        <f t="shared" si="12"/>
        <v>(3.5,7.665)</v>
      </c>
      <c r="L45" s="85" t="str">
        <f t="shared" si="13"/>
        <v>(3.5,8.673)</v>
      </c>
      <c r="Q45" s="66"/>
    </row>
    <row r="46" spans="2:17" x14ac:dyDescent="0.4">
      <c r="B46" s="80" t="s">
        <v>637</v>
      </c>
      <c r="C46">
        <v>0.27449499999999999</v>
      </c>
      <c r="D46" s="80">
        <f t="shared" si="18"/>
        <v>4</v>
      </c>
      <c r="E46">
        <f t="shared" si="16"/>
        <v>4</v>
      </c>
      <c r="F46">
        <f t="shared" si="17"/>
        <v>6.600003585466931</v>
      </c>
      <c r="G46">
        <f t="shared" si="8"/>
        <v>9.922671987525618</v>
      </c>
      <c r="H46">
        <f t="shared" si="9"/>
        <v>11.171929333684503</v>
      </c>
      <c r="I46" s="85" t="str">
        <f t="shared" si="10"/>
        <v>(4,4.000)</v>
      </c>
      <c r="J46" s="85" t="str">
        <f t="shared" si="11"/>
        <v>(4,6.600)</v>
      </c>
      <c r="K46" s="85" t="str">
        <f t="shared" si="12"/>
        <v>(4,9.923)</v>
      </c>
      <c r="L46" s="85" t="str">
        <f t="shared" si="13"/>
        <v>(4,11.172)</v>
      </c>
      <c r="Q46" s="66"/>
    </row>
    <row r="47" spans="2:17" x14ac:dyDescent="0.4">
      <c r="B47" s="80" t="s">
        <v>636</v>
      </c>
      <c r="C47">
        <v>0.342636</v>
      </c>
      <c r="D47" s="80">
        <f t="shared" si="18"/>
        <v>4.5</v>
      </c>
      <c r="E47">
        <f t="shared" si="16"/>
        <v>4.5</v>
      </c>
      <c r="F47">
        <f t="shared" si="17"/>
        <v>8.3338742012118452</v>
      </c>
      <c r="G47">
        <f t="shared" si="8"/>
        <v>12.694948362585446</v>
      </c>
      <c r="H47">
        <f t="shared" si="9"/>
        <v>14.250033439590618</v>
      </c>
      <c r="I47" s="85" t="str">
        <f t="shared" si="10"/>
        <v>(4.5,4.500)</v>
      </c>
      <c r="J47" s="85" t="str">
        <f t="shared" si="11"/>
        <v>(4.5,8.334)</v>
      </c>
      <c r="K47" s="85" t="str">
        <f t="shared" si="12"/>
        <v>(4.5,12.695)</v>
      </c>
      <c r="L47" s="85" t="str">
        <f t="shared" si="13"/>
        <v>(4.5,14.250)</v>
      </c>
      <c r="Q47" s="66"/>
    </row>
    <row r="48" spans="2:17" ht="15" thickBot="1" x14ac:dyDescent="0.45">
      <c r="B48" s="80"/>
      <c r="D48" s="80">
        <f t="shared" si="18"/>
        <v>5</v>
      </c>
      <c r="E48">
        <f t="shared" si="16"/>
        <v>5</v>
      </c>
      <c r="F48">
        <f t="shared" si="17"/>
        <v>10.458425802242385</v>
      </c>
      <c r="G48">
        <f t="shared" si="8"/>
        <v>16.100007316942623</v>
      </c>
      <c r="H48">
        <f t="shared" si="9"/>
        <v>18.050002498548739</v>
      </c>
      <c r="I48" s="85" t="str">
        <f t="shared" si="10"/>
        <v>(5,5.000)</v>
      </c>
      <c r="J48" s="85" t="str">
        <f t="shared" si="11"/>
        <v>(5,10.458)</v>
      </c>
      <c r="K48" s="85" t="str">
        <f t="shared" si="12"/>
        <v>(5,16.100)</v>
      </c>
      <c r="L48" s="85" t="str">
        <f t="shared" si="13"/>
        <v>(5,18.050)</v>
      </c>
      <c r="Q48" s="66"/>
    </row>
    <row r="49" spans="2:17" x14ac:dyDescent="0.4">
      <c r="B49" s="164" t="s">
        <v>904</v>
      </c>
      <c r="C49" s="165"/>
      <c r="D49" s="80">
        <f t="shared" si="18"/>
        <v>5.5</v>
      </c>
      <c r="E49">
        <f t="shared" si="16"/>
        <v>5.5</v>
      </c>
      <c r="F49">
        <f t="shared" si="17"/>
        <v>13.069061575902825</v>
      </c>
      <c r="G49">
        <f t="shared" si="8"/>
        <v>20.280787529583623</v>
      </c>
      <c r="H49">
        <f t="shared" si="9"/>
        <v>22.74765585555059</v>
      </c>
      <c r="I49" s="85" t="str">
        <f t="shared" si="10"/>
        <v>(5.5,5.500)</v>
      </c>
      <c r="J49" s="85" t="str">
        <f t="shared" si="11"/>
        <v>(5.5,13.069)</v>
      </c>
      <c r="K49" s="85" t="str">
        <f t="shared" si="12"/>
        <v>(5.5,20.281)</v>
      </c>
      <c r="L49" s="85" t="str">
        <f t="shared" si="13"/>
        <v>(5.5,22.748)</v>
      </c>
      <c r="Q49" s="66"/>
    </row>
    <row r="50" spans="2:17" x14ac:dyDescent="0.4">
      <c r="B50" s="80"/>
      <c r="D50" s="80">
        <f t="shared" si="18"/>
        <v>6</v>
      </c>
      <c r="E50">
        <f t="shared" si="16"/>
        <v>6</v>
      </c>
      <c r="F50">
        <f t="shared" si="17"/>
        <v>16.283197877185238</v>
      </c>
      <c r="G50">
        <f t="shared" si="8"/>
        <v>25.410661467773384</v>
      </c>
      <c r="H50">
        <f t="shared" si="9"/>
        <v>28.559272386384698</v>
      </c>
      <c r="I50" s="85" t="str">
        <f t="shared" si="10"/>
        <v>(6,6.000)</v>
      </c>
      <c r="J50" s="85" t="str">
        <f t="shared" si="11"/>
        <v>(6,16.283)</v>
      </c>
      <c r="K50" s="85" t="str">
        <f t="shared" si="12"/>
        <v>(6,25.411)</v>
      </c>
      <c r="L50" s="85" t="str">
        <f t="shared" si="13"/>
        <v>(6,28.559)</v>
      </c>
      <c r="Q50" s="66"/>
    </row>
    <row r="51" spans="2:17" x14ac:dyDescent="0.4">
      <c r="B51" s="80" t="s">
        <v>899</v>
      </c>
      <c r="C51" t="s">
        <v>900</v>
      </c>
      <c r="D51" s="80">
        <f t="shared" si="18"/>
        <v>6.5</v>
      </c>
      <c r="E51">
        <f t="shared" si="16"/>
        <v>6.5</v>
      </c>
      <c r="F51">
        <f t="shared" si="17"/>
        <v>20.245159897044029</v>
      </c>
      <c r="G51">
        <f t="shared" si="8"/>
        <v>31.699673015675064</v>
      </c>
      <c r="H51">
        <f t="shared" si="9"/>
        <v>35.750564089227886</v>
      </c>
      <c r="I51" s="85" t="str">
        <f t="shared" ref="I51:I58" si="19">"("&amp;_xlfn.TEXTJOIN(",",TRUE,$D51,TEXT(E51,"0.000")&amp;")")</f>
        <v>(6.5,6.500)</v>
      </c>
      <c r="J51" s="85" t="str">
        <f t="shared" ref="J51:J58" si="20">"("&amp;_xlfn.TEXTJOIN(",",TRUE,$D51,TEXT($F51,"0.000")&amp;")")</f>
        <v>(6.5,20.245)</v>
      </c>
      <c r="K51" s="85" t="str">
        <f t="shared" ref="K51:K58" si="21">"("&amp;_xlfn.TEXTJOIN(",",TRUE,$D51,TEXT($G51,"0.000")&amp;")")</f>
        <v>(6.5,31.700)</v>
      </c>
      <c r="L51" s="85" t="str">
        <f t="shared" ref="L51:L58" si="22">"("&amp;_xlfn.TEXTJOIN(",",TRUE,$D51,TEXT($H51,"0.000")&amp;")")</f>
        <v>(6.5,35.751)</v>
      </c>
      <c r="Q51" s="66"/>
    </row>
    <row r="52" spans="2:17" x14ac:dyDescent="0.4">
      <c r="B52" s="80" t="s">
        <v>635</v>
      </c>
      <c r="C52">
        <v>0.49856899999999998</v>
      </c>
      <c r="D52" s="80">
        <f t="shared" si="18"/>
        <v>7</v>
      </c>
      <c r="E52">
        <f t="shared" ref="E52" si="23">D52</f>
        <v>7</v>
      </c>
      <c r="F52">
        <f t="shared" ref="F52" si="24">D52*($C$45+$C$46*EXP($C$47*D52))</f>
        <v>25.132138326283659</v>
      </c>
      <c r="G52">
        <f t="shared" si="8"/>
        <v>39.402019996869384</v>
      </c>
      <c r="H52">
        <f t="shared" si="9"/>
        <v>44.647589101444524</v>
      </c>
      <c r="I52" s="85" t="str">
        <f t="shared" si="19"/>
        <v>(7,7.000)</v>
      </c>
      <c r="J52" s="85" t="str">
        <f t="shared" si="20"/>
        <v>(7,25.132)</v>
      </c>
      <c r="K52" s="85" t="str">
        <f t="shared" si="21"/>
        <v>(7,39.402)</v>
      </c>
      <c r="L52" s="85" t="str">
        <f t="shared" si="22"/>
        <v>(7,44.648)</v>
      </c>
      <c r="Q52" s="66"/>
    </row>
    <row r="53" spans="2:17" x14ac:dyDescent="0.4">
      <c r="B53" s="80" t="s">
        <v>637</v>
      </c>
      <c r="C53">
        <v>0.55774599999999996</v>
      </c>
      <c r="D53" s="80">
        <f t="shared" si="18"/>
        <v>7.5</v>
      </c>
      <c r="E53">
        <f t="shared" ref="E53:E58" si="25">D53</f>
        <v>7.5</v>
      </c>
      <c r="F53">
        <f t="shared" ref="F53:F58" si="26">D53*($C$45+$C$46*EXP($C$47*D53))</f>
        <v>31.161432592272721</v>
      </c>
      <c r="G53">
        <f t="shared" si="8"/>
        <v>48.825025214944027</v>
      </c>
      <c r="H53">
        <f t="shared" si="9"/>
        <v>55.650015341495937</v>
      </c>
      <c r="I53" s="85" t="str">
        <f t="shared" si="19"/>
        <v>(7.5,7.500)</v>
      </c>
      <c r="J53" s="85" t="str">
        <f t="shared" si="20"/>
        <v>(7.5,31.161)</v>
      </c>
      <c r="K53" s="85" t="str">
        <f t="shared" si="21"/>
        <v>(7.5,48.825)</v>
      </c>
      <c r="L53" s="85" t="str">
        <f t="shared" si="22"/>
        <v>(7.5,55.650)</v>
      </c>
      <c r="Q53" s="66"/>
    </row>
    <row r="54" spans="2:17" x14ac:dyDescent="0.4">
      <c r="B54" s="80" t="s">
        <v>636</v>
      </c>
      <c r="C54">
        <v>0.31700200000000001</v>
      </c>
      <c r="D54" s="80">
        <f t="shared" si="18"/>
        <v>8</v>
      </c>
      <c r="E54">
        <f t="shared" si="25"/>
        <v>8</v>
      </c>
      <c r="F54">
        <f t="shared" si="26"/>
        <v>38.59925350249091</v>
      </c>
      <c r="G54">
        <f t="shared" si="8"/>
        <v>60.339886599452377</v>
      </c>
      <c r="H54">
        <f t="shared" si="9"/>
        <v>69.247231880208702</v>
      </c>
      <c r="I54" s="85" t="str">
        <f t="shared" si="19"/>
        <v>(8,8.000)</v>
      </c>
      <c r="J54" s="85" t="str">
        <f t="shared" si="20"/>
        <v>(8,38.599)</v>
      </c>
      <c r="K54" s="85" t="str">
        <f t="shared" si="21"/>
        <v>(8,60.340)</v>
      </c>
      <c r="L54" s="85" t="str">
        <f t="shared" si="22"/>
        <v>(8,69.247)</v>
      </c>
      <c r="Q54" s="66"/>
    </row>
    <row r="55" spans="2:17" ht="15" thickBot="1" x14ac:dyDescent="0.45">
      <c r="B55" s="80"/>
      <c r="D55" s="80">
        <f t="shared" si="18"/>
        <v>8.5</v>
      </c>
      <c r="E55">
        <f t="shared" si="25"/>
        <v>8.5</v>
      </c>
      <c r="F55">
        <f t="shared" si="26"/>
        <v>47.771415170140742</v>
      </c>
      <c r="G55">
        <f t="shared" si="8"/>
        <v>74.394552953095697</v>
      </c>
      <c r="H55">
        <f t="shared" si="9"/>
        <v>86.037908786946076</v>
      </c>
      <c r="I55" s="85" t="str">
        <f t="shared" si="19"/>
        <v>(8.5,8.500)</v>
      </c>
      <c r="J55" s="85" t="str">
        <f t="shared" si="20"/>
        <v>(8.5,47.771)</v>
      </c>
      <c r="K55" s="85" t="str">
        <f t="shared" si="21"/>
        <v>(8.5,74.395)</v>
      </c>
      <c r="L55" s="85" t="str">
        <f t="shared" si="22"/>
        <v>(8.5,86.038)</v>
      </c>
      <c r="Q55" s="66"/>
    </row>
    <row r="56" spans="2:17" x14ac:dyDescent="0.4">
      <c r="B56" s="164" t="s">
        <v>905</v>
      </c>
      <c r="C56" s="165"/>
      <c r="D56" s="80">
        <f t="shared" si="18"/>
        <v>9</v>
      </c>
      <c r="E56">
        <f t="shared" si="25"/>
        <v>9</v>
      </c>
      <c r="F56">
        <f t="shared" si="26"/>
        <v>59.076314929374334</v>
      </c>
      <c r="G56">
        <f t="shared" si="8"/>
        <v>91.529138337400838</v>
      </c>
      <c r="H56">
        <f t="shared" si="9"/>
        <v>106.75373120186424</v>
      </c>
      <c r="I56" s="85" t="str">
        <f t="shared" si="19"/>
        <v>(9,9.000)</v>
      </c>
      <c r="J56" s="85" t="str">
        <f t="shared" si="20"/>
        <v>(9,59.076)</v>
      </c>
      <c r="K56" s="85" t="str">
        <f t="shared" si="21"/>
        <v>(9,91.529)</v>
      </c>
      <c r="L56" s="85" t="str">
        <f t="shared" si="22"/>
        <v>(9,106.754)</v>
      </c>
      <c r="Q56" s="66"/>
    </row>
    <row r="57" spans="2:17" x14ac:dyDescent="0.4">
      <c r="B57" s="80"/>
      <c r="D57" s="80">
        <f>D56+0.5</f>
        <v>9.5</v>
      </c>
      <c r="E57">
        <f t="shared" si="25"/>
        <v>9.5</v>
      </c>
      <c r="F57">
        <f t="shared" si="26"/>
        <v>73.000682985993421</v>
      </c>
      <c r="G57">
        <f t="shared" si="8"/>
        <v>112.39436731164743</v>
      </c>
      <c r="H57">
        <f t="shared" si="9"/>
        <v>132.28818411879314</v>
      </c>
      <c r="I57" s="85" t="str">
        <f t="shared" si="19"/>
        <v>(9.5,9.500)</v>
      </c>
      <c r="J57" s="85" t="str">
        <f t="shared" si="20"/>
        <v>(9.5,73.001)</v>
      </c>
      <c r="K57" s="85" t="str">
        <f t="shared" si="21"/>
        <v>(9.5,112.394)</v>
      </c>
      <c r="L57" s="85" t="str">
        <f t="shared" si="22"/>
        <v>(9.5,132.288)</v>
      </c>
      <c r="Q57" s="66"/>
    </row>
    <row r="58" spans="2:17" x14ac:dyDescent="0.4">
      <c r="B58" s="80" t="s">
        <v>899</v>
      </c>
      <c r="C58" t="s">
        <v>900</v>
      </c>
      <c r="D58" s="80">
        <f t="shared" si="18"/>
        <v>10</v>
      </c>
      <c r="E58">
        <f t="shared" si="25"/>
        <v>10</v>
      </c>
      <c r="F58">
        <f t="shared" si="26"/>
        <v>90.138683699468601</v>
      </c>
      <c r="G58">
        <f t="shared" si="8"/>
        <v>137.77363743099787</v>
      </c>
      <c r="H58">
        <f t="shared" si="9"/>
        <v>163.73144607205813</v>
      </c>
      <c r="I58" s="85" t="str">
        <f t="shared" si="19"/>
        <v>(10,10.000)</v>
      </c>
      <c r="J58" s="85" t="str">
        <f t="shared" si="20"/>
        <v>(10,90.139)</v>
      </c>
      <c r="K58" s="85" t="str">
        <f t="shared" si="21"/>
        <v>(10,137.774)</v>
      </c>
      <c r="L58" s="85" t="str">
        <f t="shared" si="22"/>
        <v>(10,163.731)</v>
      </c>
      <c r="Q58" s="66"/>
    </row>
    <row r="59" spans="2:17" x14ac:dyDescent="0.4">
      <c r="B59" s="80" t="s">
        <v>635</v>
      </c>
      <c r="C59">
        <v>0.78757900000000003</v>
      </c>
      <c r="D59" s="80" t="s">
        <v>510</v>
      </c>
      <c r="E59" s="84" t="str">
        <f>_xlfn.TEXTJOIN(",",TRUE,I40:I58)</f>
        <v>(0,0.000),(1,1.000),(2,2.000),(2.5,2.500),(3,3.000),(3.5,3.500),(4,4.000),(4.5,4.500),(5,5.000),(5.5,5.500),(6,6.000),(6.5,6.500),(7,7.000),(7.5,7.500),(8,8.000),(8.5,8.500),(9,9.000),(9.5,9.500),(10,10.000)</v>
      </c>
      <c r="F59" s="84" t="str">
        <f t="shared" ref="F59:H59" si="27">_xlfn.TEXTJOIN(",",TRUE,J40:J58)</f>
        <v>(0,0.844),(1,0.956),(2,2.228),(2.5,3.039),(3,4.009),(3.5,5.179),(4,6.600),(4.5,8.334),(5,10.458),(5.5,13.069),(6,16.283),(6.5,20.245),(7,25.132),(7.5,31.161),(8,38.599),(8.5,47.771),(9,59.076),(9.5,73.001),(10,90.139)</v>
      </c>
      <c r="G59" s="84" t="str">
        <f t="shared" si="27"/>
        <v>(0,0.000),(1,1.264),(2,3.100),(2.5,4.326),(3,5.827),(3.5,7.665),(4,9.923),(4.5,12.695),(5,16.100),(5.5,20.281),(6,25.411),(6.5,31.700),(7,39.402),(7.5,48.825),(8,60.340),(8.5,74.395),(9,91.529),(9.5,112.394),(10,137.774)</v>
      </c>
      <c r="H59" s="84" t="str">
        <f t="shared" si="27"/>
        <v>(0,0.000),(1,1.507),(2,3.600),(2.5,4.972),(3,6.637),(3.5,8.673),(4,11.172),(4.5,14.250),(5,18.050),(5.5,22.748),(6,28.559),(6.5,35.751),(7,44.648),(7.5,55.650),(8,69.247),(8.5,86.038),(9,106.754),(9.5,132.288),(10,163.731)</v>
      </c>
      <c r="Q59" s="66"/>
    </row>
    <row r="60" spans="2:17" x14ac:dyDescent="0.4">
      <c r="B60" s="80" t="s">
        <v>637</v>
      </c>
      <c r="C60">
        <v>0.51111799999999996</v>
      </c>
      <c r="D60" s="80"/>
      <c r="Q60" s="66"/>
    </row>
    <row r="61" spans="2:17" x14ac:dyDescent="0.4">
      <c r="B61" s="80" t="s">
        <v>636</v>
      </c>
      <c r="C61">
        <v>0.34175</v>
      </c>
      <c r="D61" s="177"/>
      <c r="Q61" s="66"/>
    </row>
    <row r="62" spans="2:17" ht="15" thickBot="1" x14ac:dyDescent="0.45">
      <c r="B62" s="83"/>
      <c r="C62" s="67"/>
      <c r="D62" s="83"/>
      <c r="E62" s="67"/>
      <c r="F62" s="67"/>
      <c r="G62" s="67"/>
      <c r="H62" s="67"/>
      <c r="I62" s="67"/>
      <c r="J62" s="67"/>
      <c r="K62" s="67"/>
      <c r="L62" s="67"/>
      <c r="M62" s="67"/>
      <c r="N62" s="67"/>
      <c r="O62" s="67"/>
      <c r="P62" s="67"/>
      <c r="Q62" s="68"/>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9F0CF-ED8F-48EA-8721-DE39A95A5603}">
  <sheetPr codeName="Sheet5"/>
  <dimension ref="B1:X105"/>
  <sheetViews>
    <sheetView topLeftCell="A33" zoomScaleNormal="100" workbookViewId="0">
      <selection activeCell="L47" sqref="L47"/>
    </sheetView>
  </sheetViews>
  <sheetFormatPr defaultRowHeight="14.6" x14ac:dyDescent="0.4"/>
  <cols>
    <col min="1" max="1" width="3.4609375" customWidth="1"/>
    <col min="3" max="3" width="28.3046875" customWidth="1"/>
    <col min="4" max="4" width="12.69140625" customWidth="1"/>
    <col min="8" max="8" width="10.3046875" customWidth="1"/>
    <col min="12" max="12" width="10" bestFit="1" customWidth="1"/>
    <col min="16" max="16" width="36.53515625" customWidth="1"/>
    <col min="22" max="22" width="6.4609375" customWidth="1"/>
  </cols>
  <sheetData>
    <row r="1" spans="2:14" ht="15" thickBot="1" x14ac:dyDescent="0.45"/>
    <row r="2" spans="2:14" x14ac:dyDescent="0.4">
      <c r="B2" s="86" t="s">
        <v>658</v>
      </c>
      <c r="C2" s="98"/>
      <c r="D2" s="98"/>
      <c r="E2" s="98"/>
      <c r="F2" s="98"/>
      <c r="G2" s="98"/>
      <c r="H2" s="98"/>
      <c r="I2" s="98"/>
      <c r="J2" s="99"/>
    </row>
    <row r="3" spans="2:14" x14ac:dyDescent="0.4">
      <c r="B3" s="100" t="s">
        <v>650</v>
      </c>
      <c r="C3" s="101"/>
      <c r="D3" s="101"/>
      <c r="E3" s="101"/>
      <c r="F3" s="101"/>
      <c r="G3" s="101"/>
      <c r="H3" s="101"/>
      <c r="I3" s="101"/>
      <c r="J3" s="102"/>
    </row>
    <row r="4" spans="2:14" x14ac:dyDescent="0.4">
      <c r="B4" s="80"/>
      <c r="J4" s="66"/>
    </row>
    <row r="5" spans="2:14" x14ac:dyDescent="0.4">
      <c r="B5" s="103" t="s">
        <v>635</v>
      </c>
      <c r="C5" t="s">
        <v>639</v>
      </c>
      <c r="D5">
        <v>0.36599999999999999</v>
      </c>
      <c r="F5" t="s">
        <v>659</v>
      </c>
      <c r="G5" s="120">
        <v>7.9905610072131233E-2</v>
      </c>
      <c r="J5" s="66"/>
    </row>
    <row r="6" spans="2:14" x14ac:dyDescent="0.4">
      <c r="B6" s="103" t="s">
        <v>637</v>
      </c>
      <c r="C6" t="s">
        <v>640</v>
      </c>
      <c r="D6">
        <f>1-D5</f>
        <v>0.63400000000000001</v>
      </c>
      <c r="G6" s="23"/>
      <c r="J6" s="66"/>
    </row>
    <row r="7" spans="2:14" x14ac:dyDescent="0.4">
      <c r="B7" s="80"/>
      <c r="G7" s="23" t="s">
        <v>644</v>
      </c>
      <c r="J7" s="66"/>
    </row>
    <row r="8" spans="2:14" x14ac:dyDescent="0.4">
      <c r="B8" s="80"/>
      <c r="C8" t="s">
        <v>642</v>
      </c>
      <c r="D8" t="s">
        <v>635</v>
      </c>
      <c r="E8" t="s">
        <v>637</v>
      </c>
      <c r="G8" s="23" t="s">
        <v>265</v>
      </c>
      <c r="H8" t="s">
        <v>643</v>
      </c>
      <c r="I8" t="s">
        <v>645</v>
      </c>
      <c r="J8" s="66"/>
      <c r="L8" t="s">
        <v>661</v>
      </c>
      <c r="M8" s="16">
        <f>MAX(ABS(I10),ABS(I9))</f>
        <v>2.1783799845354057E-4</v>
      </c>
      <c r="N8" s="16"/>
    </row>
    <row r="9" spans="2:14" x14ac:dyDescent="0.4">
      <c r="B9" s="103" t="s">
        <v>160</v>
      </c>
      <c r="C9" s="104">
        <v>74</v>
      </c>
      <c r="D9" s="23">
        <f>EXP(-$G$5*C9)/(EXP(-$G$5*C10)+EXP(-$G$5*C9))</f>
        <v>0.32758007810570711</v>
      </c>
      <c r="E9">
        <f>1</f>
        <v>1</v>
      </c>
      <c r="G9" s="112">
        <f>D5*D9+D6*E9</f>
        <v>0.75389430858668882</v>
      </c>
      <c r="H9" s="7">
        <f>estimates!D194</f>
        <v>0.75367647058823528</v>
      </c>
      <c r="I9" s="72">
        <f>G9-H9</f>
        <v>2.1783799845354057E-4</v>
      </c>
      <c r="J9" s="66"/>
      <c r="M9">
        <v>72</v>
      </c>
    </row>
    <row r="10" spans="2:14" x14ac:dyDescent="0.4">
      <c r="B10" s="103" t="s">
        <v>598</v>
      </c>
      <c r="C10" s="104">
        <v>65</v>
      </c>
      <c r="D10" s="23">
        <f>EXP(-$G$5*C10)/(EXP(-$G$5*C10)+EXP(-$G$5*C9))</f>
        <v>0.67241992189429289</v>
      </c>
      <c r="G10" s="112">
        <f>D5*D10</f>
        <v>0.24610569141331121</v>
      </c>
      <c r="H10" s="7">
        <f>estimates!D193</f>
        <v>0.24632352941176472</v>
      </c>
      <c r="I10" s="72">
        <f>G10-H10</f>
        <v>-2.1783799845351282E-4</v>
      </c>
      <c r="J10" s="66"/>
      <c r="M10">
        <v>80.399999999999991</v>
      </c>
    </row>
    <row r="11" spans="2:14" x14ac:dyDescent="0.4">
      <c r="B11" s="103"/>
      <c r="C11" s="104"/>
      <c r="D11" s="23"/>
      <c r="G11" s="112"/>
      <c r="H11" s="7"/>
      <c r="I11" s="72"/>
      <c r="J11" s="66"/>
    </row>
    <row r="12" spans="2:14" x14ac:dyDescent="0.4">
      <c r="B12" s="103"/>
      <c r="C12" s="104" t="s">
        <v>924</v>
      </c>
      <c r="D12" s="23"/>
      <c r="G12" s="112"/>
      <c r="H12" s="7"/>
      <c r="I12" s="72"/>
      <c r="J12" s="66"/>
    </row>
    <row r="13" spans="2:14" ht="15" thickBot="1" x14ac:dyDescent="0.45">
      <c r="B13" s="83"/>
      <c r="C13" s="67"/>
      <c r="D13" s="67"/>
      <c r="E13" s="67"/>
      <c r="F13" s="67"/>
      <c r="G13" s="113"/>
      <c r="H13" s="67"/>
      <c r="I13" s="67"/>
      <c r="J13" s="68"/>
    </row>
    <row r="14" spans="2:14" x14ac:dyDescent="0.4">
      <c r="B14" s="100" t="s">
        <v>651</v>
      </c>
      <c r="C14" s="101"/>
      <c r="D14" s="101"/>
      <c r="E14" s="101"/>
      <c r="F14" s="101"/>
      <c r="G14" s="114"/>
      <c r="H14" s="101"/>
      <c r="I14" s="101"/>
      <c r="J14" s="102"/>
    </row>
    <row r="15" spans="2:14" x14ac:dyDescent="0.4">
      <c r="B15" s="80"/>
      <c r="G15" s="23"/>
      <c r="J15" s="66"/>
    </row>
    <row r="16" spans="2:14" x14ac:dyDescent="0.4">
      <c r="B16" s="103" t="s">
        <v>635</v>
      </c>
      <c r="C16" t="s">
        <v>638</v>
      </c>
      <c r="D16">
        <v>0.27100000000000002</v>
      </c>
      <c r="F16" t="s">
        <v>660</v>
      </c>
      <c r="G16" s="120">
        <v>8.7819727453041063E-2</v>
      </c>
      <c r="J16" s="66"/>
    </row>
    <row r="17" spans="2:24" x14ac:dyDescent="0.4">
      <c r="B17" s="103" t="s">
        <v>637</v>
      </c>
      <c r="C17" t="s">
        <v>639</v>
      </c>
      <c r="D17" s="16">
        <v>0.245</v>
      </c>
      <c r="J17" s="66"/>
    </row>
    <row r="18" spans="2:24" x14ac:dyDescent="0.4">
      <c r="B18" s="103" t="s">
        <v>636</v>
      </c>
      <c r="C18" t="s">
        <v>640</v>
      </c>
      <c r="D18" s="16">
        <f>MAX(0,1-D17-D16)</f>
        <v>0.48399999999999999</v>
      </c>
      <c r="J18" s="66"/>
    </row>
    <row r="19" spans="2:24" x14ac:dyDescent="0.4">
      <c r="B19" s="80"/>
      <c r="G19" t="s">
        <v>644</v>
      </c>
      <c r="J19" s="66"/>
    </row>
    <row r="20" spans="2:24" x14ac:dyDescent="0.4">
      <c r="B20" s="80"/>
      <c r="C20" t="s">
        <v>664</v>
      </c>
      <c r="D20" t="s">
        <v>635</v>
      </c>
      <c r="E20" t="s">
        <v>637</v>
      </c>
      <c r="F20" t="s">
        <v>636</v>
      </c>
      <c r="G20" t="s">
        <v>265</v>
      </c>
      <c r="H20" t="s">
        <v>643</v>
      </c>
      <c r="I20" t="s">
        <v>645</v>
      </c>
      <c r="J20" s="66"/>
      <c r="L20" t="s">
        <v>661</v>
      </c>
      <c r="M20" s="16">
        <f>MAX(ABS(I21),ABS(I22),ABS(I23))</f>
        <v>4.3348840948834177E-4</v>
      </c>
      <c r="N20" s="49"/>
    </row>
    <row r="21" spans="2:24" x14ac:dyDescent="0.4">
      <c r="B21" s="103" t="s">
        <v>160</v>
      </c>
      <c r="C21" s="104">
        <v>58</v>
      </c>
      <c r="D21" s="23">
        <f>EXP(-$G$16*C21)/(EXP(-$G$16*C21)+EXP(-$G$16*C23))</f>
        <v>0.47805916752300204</v>
      </c>
      <c r="E21" s="23">
        <f>EXP(-$G$16*C21)/(EXP(-$G$16*C21)+EXP(-$G$16*C22))</f>
        <v>0.41307232317844544</v>
      </c>
      <c r="F21">
        <f>1</f>
        <v>1</v>
      </c>
      <c r="G21" s="105">
        <f>(D16*D21+D17*E21+D18*F21)/SUM(D16:D18)</f>
        <v>0.71475675357745261</v>
      </c>
      <c r="H21" s="7">
        <f>estimates!C194</f>
        <v>0.71474358974358976</v>
      </c>
      <c r="I21" s="72">
        <f>G21-H21</f>
        <v>1.316383386285036E-5</v>
      </c>
      <c r="J21" s="66"/>
    </row>
    <row r="22" spans="2:24" x14ac:dyDescent="0.4">
      <c r="B22" s="103" t="s">
        <v>598</v>
      </c>
      <c r="C22" s="104">
        <v>54</v>
      </c>
      <c r="D22" s="10"/>
      <c r="E22" s="23">
        <f>EXP(-$G$16*C22)/(EXP(-$G$16*C21)+EXP(-$G$16*C22))</f>
        <v>0.58692767682155456</v>
      </c>
      <c r="G22" s="105">
        <f>D17*E22/SUM(D16:D18)</f>
        <v>0.14379728082128088</v>
      </c>
      <c r="H22" s="7">
        <f>estimates!C193</f>
        <v>0.14423076923076922</v>
      </c>
      <c r="I22" s="72">
        <f>G22-H22</f>
        <v>-4.3348840948834177E-4</v>
      </c>
      <c r="J22" s="66"/>
    </row>
    <row r="23" spans="2:24" x14ac:dyDescent="0.4">
      <c r="B23" s="103" t="s">
        <v>600</v>
      </c>
      <c r="C23" s="104">
        <v>57</v>
      </c>
      <c r="D23" s="23">
        <f>EXP(-$G$16*C23)/(EXP(-$G$16*C21)+EXP(-$G$16*C23))</f>
        <v>0.52194083247699796</v>
      </c>
      <c r="E23" s="23"/>
      <c r="G23" s="105">
        <f>D16*D23/SUM(D16:D18)</f>
        <v>0.14144596560126646</v>
      </c>
      <c r="H23" s="7">
        <f>estimates!C195</f>
        <v>0.14102564102564102</v>
      </c>
      <c r="I23" s="72">
        <f t="shared" ref="I23" si="0">G23-H23</f>
        <v>4.203245756254359E-4</v>
      </c>
      <c r="J23" s="66"/>
    </row>
    <row r="24" spans="2:24" x14ac:dyDescent="0.4">
      <c r="B24" s="103"/>
      <c r="C24" s="104"/>
      <c r="D24" s="23"/>
      <c r="E24" s="23"/>
      <c r="G24" s="105"/>
      <c r="H24" s="7"/>
      <c r="I24" s="72"/>
      <c r="J24" s="66"/>
    </row>
    <row r="25" spans="2:24" x14ac:dyDescent="0.4">
      <c r="B25" s="103"/>
      <c r="C25" s="104" t="s">
        <v>937</v>
      </c>
      <c r="D25" s="23"/>
      <c r="E25" s="23"/>
      <c r="G25" s="105"/>
      <c r="H25" s="7"/>
      <c r="I25" s="72"/>
      <c r="J25" s="66"/>
    </row>
    <row r="26" spans="2:24" ht="15" thickBot="1" x14ac:dyDescent="0.45">
      <c r="B26" s="83"/>
      <c r="C26" s="67"/>
      <c r="D26" s="67"/>
      <c r="E26" s="67"/>
      <c r="F26" s="67"/>
      <c r="G26" s="67"/>
      <c r="H26" s="67"/>
      <c r="I26" s="67"/>
      <c r="J26" s="68"/>
    </row>
    <row r="27" spans="2:24" x14ac:dyDescent="0.4">
      <c r="B27" s="86" t="s">
        <v>641</v>
      </c>
      <c r="C27" s="98"/>
      <c r="D27" s="98"/>
      <c r="E27" s="98"/>
      <c r="F27" s="98"/>
      <c r="G27" s="98"/>
      <c r="H27" s="98"/>
      <c r="I27" s="98"/>
      <c r="J27" s="99"/>
    </row>
    <row r="28" spans="2:24" x14ac:dyDescent="0.4">
      <c r="B28" s="100" t="s">
        <v>652</v>
      </c>
      <c r="C28" s="101"/>
      <c r="D28" s="101"/>
      <c r="E28" s="101"/>
      <c r="F28" s="101"/>
      <c r="G28" s="101"/>
      <c r="H28" s="101"/>
      <c r="I28" s="101"/>
      <c r="J28" s="102"/>
      <c r="X28" s="6"/>
    </row>
    <row r="29" spans="2:24" x14ac:dyDescent="0.4">
      <c r="B29" s="80"/>
      <c r="J29" s="66"/>
    </row>
    <row r="30" spans="2:24" x14ac:dyDescent="0.4">
      <c r="B30" s="80"/>
      <c r="C30" t="s">
        <v>809</v>
      </c>
      <c r="D30">
        <v>8</v>
      </c>
      <c r="F30" t="s">
        <v>662</v>
      </c>
      <c r="G30" s="9">
        <f>D31*D30/D32*60</f>
        <v>32</v>
      </c>
      <c r="J30" s="66"/>
    </row>
    <row r="31" spans="2:24" x14ac:dyDescent="0.4">
      <c r="B31" s="80"/>
      <c r="C31" t="s">
        <v>676</v>
      </c>
      <c r="D31" s="122">
        <v>1.2</v>
      </c>
      <c r="J31" s="66"/>
    </row>
    <row r="32" spans="2:24" x14ac:dyDescent="0.4">
      <c r="B32" s="80"/>
      <c r="C32" t="s">
        <v>655</v>
      </c>
      <c r="D32">
        <f>callibration!D102</f>
        <v>18</v>
      </c>
      <c r="G32" t="s">
        <v>265</v>
      </c>
      <c r="H32" t="s">
        <v>663</v>
      </c>
      <c r="I32" t="s">
        <v>645</v>
      </c>
      <c r="J32" s="66"/>
    </row>
    <row r="33" spans="2:12" x14ac:dyDescent="0.4">
      <c r="B33" s="80"/>
      <c r="C33" t="s">
        <v>656</v>
      </c>
      <c r="D33" s="155">
        <v>11.380726445968493</v>
      </c>
      <c r="G33" s="23">
        <f>G30+D34</f>
        <v>65.000023765897907</v>
      </c>
      <c r="H33" s="23">
        <f>C10</f>
        <v>65</v>
      </c>
      <c r="I33" s="23">
        <f>G33-H33</f>
        <v>2.3765897907424005E-5</v>
      </c>
      <c r="J33" s="66"/>
    </row>
    <row r="34" spans="2:12" x14ac:dyDescent="0.4">
      <c r="B34" s="80"/>
      <c r="C34" t="s">
        <v>657</v>
      </c>
      <c r="D34">
        <f>D33*(2+0.0001*EXP(0.8*D33))</f>
        <v>33.000023765897907</v>
      </c>
      <c r="F34" t="s">
        <v>901</v>
      </c>
      <c r="G34" s="9">
        <f>G30+Change_ldc</f>
        <v>43.380726445968492</v>
      </c>
      <c r="J34" s="66"/>
    </row>
    <row r="35" spans="2:12" ht="15" thickBot="1" x14ac:dyDescent="0.45">
      <c r="B35" s="83"/>
      <c r="C35" s="67"/>
      <c r="D35" s="67"/>
      <c r="E35" s="67"/>
      <c r="F35" s="67"/>
      <c r="G35" s="67"/>
      <c r="H35" s="67"/>
      <c r="I35" s="67"/>
      <c r="J35" s="68"/>
    </row>
    <row r="36" spans="2:12" x14ac:dyDescent="0.4">
      <c r="B36" s="100" t="s">
        <v>653</v>
      </c>
      <c r="C36" s="101"/>
      <c r="D36" s="101"/>
      <c r="E36" s="101"/>
      <c r="F36" s="101"/>
      <c r="G36" s="101"/>
      <c r="H36" s="101"/>
      <c r="I36" s="101"/>
      <c r="J36" s="102"/>
    </row>
    <row r="37" spans="2:12" x14ac:dyDescent="0.4">
      <c r="B37" s="80"/>
      <c r="J37" s="66"/>
    </row>
    <row r="38" spans="2:12" x14ac:dyDescent="0.4">
      <c r="B38" s="80"/>
      <c r="C38" t="s">
        <v>654</v>
      </c>
      <c r="D38">
        <f>D30</f>
        <v>8</v>
      </c>
      <c r="F38" t="s">
        <v>670</v>
      </c>
      <c r="G38" s="9">
        <f>(D38*D39)/D40*60</f>
        <v>11.52</v>
      </c>
      <c r="J38" s="66"/>
    </row>
    <row r="39" spans="2:12" x14ac:dyDescent="0.4">
      <c r="B39" s="80"/>
      <c r="C39" t="s">
        <v>922</v>
      </c>
      <c r="D39" s="122">
        <v>1.2</v>
      </c>
      <c r="J39" s="66"/>
    </row>
    <row r="40" spans="2:12" x14ac:dyDescent="0.4">
      <c r="B40" s="80"/>
      <c r="C40" t="s">
        <v>886</v>
      </c>
      <c r="D40">
        <v>50</v>
      </c>
      <c r="G40" t="s">
        <v>265</v>
      </c>
      <c r="H40" t="s">
        <v>663</v>
      </c>
      <c r="I40" t="s">
        <v>645</v>
      </c>
      <c r="J40" s="66"/>
    </row>
    <row r="41" spans="2:12" x14ac:dyDescent="0.4">
      <c r="B41" s="80"/>
      <c r="C41" t="s">
        <v>649</v>
      </c>
      <c r="D41" s="167">
        <v>3.9391483526564568</v>
      </c>
      <c r="G41" s="23">
        <f>(G38+D44+D46+D42)*D47</f>
        <v>74.000003244920279</v>
      </c>
      <c r="H41" s="23">
        <f>C9</f>
        <v>74</v>
      </c>
      <c r="I41" s="23">
        <f>G41-H41</f>
        <v>3.2449202791440257E-6</v>
      </c>
      <c r="J41" s="66"/>
    </row>
    <row r="42" spans="2:12" x14ac:dyDescent="0.4">
      <c r="B42" s="80"/>
      <c r="C42" t="s">
        <v>667</v>
      </c>
      <c r="D42">
        <f>D41*(0.498569+0.557746*EXP(0.317002*D41))</f>
        <v>9.6225497775791204</v>
      </c>
      <c r="J42" s="66"/>
    </row>
    <row r="43" spans="2:12" x14ac:dyDescent="0.4">
      <c r="B43" s="80"/>
      <c r="C43" t="s">
        <v>916</v>
      </c>
      <c r="D43" s="119">
        <v>4</v>
      </c>
      <c r="F43" t="s">
        <v>901</v>
      </c>
      <c r="G43" s="9">
        <f>G38+D43+old+D41+Change_ldp</f>
        <v>28.292362414103938</v>
      </c>
      <c r="J43" s="66"/>
    </row>
    <row r="44" spans="2:12" x14ac:dyDescent="0.4">
      <c r="B44" s="80"/>
      <c r="C44" t="s">
        <v>915</v>
      </c>
      <c r="D44">
        <f>D43*(0.787579+0.511118*EXP(0.34175*D43))</f>
        <v>11.171929333684503</v>
      </c>
      <c r="J44" s="66"/>
      <c r="L44">
        <f>SUM(D42,D44)</f>
        <v>20.794479111263623</v>
      </c>
    </row>
    <row r="45" spans="2:12" x14ac:dyDescent="0.4">
      <c r="B45" s="80"/>
      <c r="C45" t="s">
        <v>669</v>
      </c>
      <c r="D45" s="123">
        <f>D64</f>
        <v>4.8940657087910253</v>
      </c>
      <c r="J45" s="66"/>
    </row>
    <row r="46" spans="2:12" x14ac:dyDescent="0.4">
      <c r="B46" s="80"/>
      <c r="C46" t="s">
        <v>668</v>
      </c>
      <c r="D46">
        <f>D45*(0.569179+0.274495*EXP(0.342636*D45))</f>
        <v>9.9712370286908261</v>
      </c>
      <c r="J46" s="66"/>
    </row>
    <row r="47" spans="2:12" x14ac:dyDescent="0.4">
      <c r="B47" s="80"/>
      <c r="C47" t="s">
        <v>671</v>
      </c>
      <c r="D47">
        <f>D84</f>
        <v>1.75</v>
      </c>
      <c r="J47" s="66"/>
    </row>
    <row r="48" spans="2:12" x14ac:dyDescent="0.4">
      <c r="B48" s="80"/>
      <c r="J48" s="66"/>
    </row>
    <row r="49" spans="2:10" x14ac:dyDescent="0.4">
      <c r="B49" s="100" t="s">
        <v>674</v>
      </c>
      <c r="C49" s="101"/>
      <c r="D49" s="101"/>
      <c r="E49" s="101"/>
      <c r="F49" s="101"/>
      <c r="G49" s="101"/>
      <c r="H49" s="101"/>
      <c r="I49" s="101"/>
      <c r="J49" s="102"/>
    </row>
    <row r="50" spans="2:10" x14ac:dyDescent="0.4">
      <c r="B50" s="80"/>
      <c r="J50" s="66"/>
    </row>
    <row r="51" spans="2:10" x14ac:dyDescent="0.4">
      <c r="B51" s="80"/>
      <c r="C51" t="s">
        <v>678</v>
      </c>
      <c r="D51">
        <v>5</v>
      </c>
      <c r="F51" t="s">
        <v>662</v>
      </c>
      <c r="G51" s="9">
        <f>(D52*D51)/D53*60</f>
        <v>20.999976234102078</v>
      </c>
      <c r="J51" s="66"/>
    </row>
    <row r="52" spans="2:10" x14ac:dyDescent="0.4">
      <c r="B52" s="80"/>
      <c r="C52" t="s">
        <v>679</v>
      </c>
      <c r="D52" s="124">
        <v>1.2599985740461248</v>
      </c>
      <c r="J52" s="66"/>
    </row>
    <row r="53" spans="2:10" x14ac:dyDescent="0.4">
      <c r="B53" s="80"/>
      <c r="C53" t="s">
        <v>655</v>
      </c>
      <c r="D53">
        <f>callibration!D102</f>
        <v>18</v>
      </c>
      <c r="G53" t="s">
        <v>265</v>
      </c>
      <c r="H53" t="s">
        <v>663</v>
      </c>
      <c r="I53" t="s">
        <v>645</v>
      </c>
      <c r="J53" s="66"/>
    </row>
    <row r="54" spans="2:10" x14ac:dyDescent="0.4">
      <c r="B54" s="80"/>
      <c r="C54" t="s">
        <v>656</v>
      </c>
      <c r="D54" s="178">
        <f>D33</f>
        <v>11.380726445968493</v>
      </c>
      <c r="G54" s="23">
        <f>G51+D55</f>
        <v>53.999999999999986</v>
      </c>
      <c r="H54" s="23">
        <f>C22</f>
        <v>54</v>
      </c>
      <c r="I54" s="23">
        <f>G54-H54</f>
        <v>0</v>
      </c>
      <c r="J54" s="66"/>
    </row>
    <row r="55" spans="2:10" x14ac:dyDescent="0.4">
      <c r="B55" s="80"/>
      <c r="C55" t="s">
        <v>657</v>
      </c>
      <c r="D55">
        <f>D34</f>
        <v>33.000023765897907</v>
      </c>
      <c r="F55" t="s">
        <v>901</v>
      </c>
      <c r="G55" s="9">
        <f>G51+D54</f>
        <v>32.38070268007057</v>
      </c>
      <c r="J55" s="66"/>
    </row>
    <row r="56" spans="2:10" x14ac:dyDescent="0.4">
      <c r="B56" s="80"/>
      <c r="J56" s="66"/>
    </row>
    <row r="57" spans="2:10" x14ac:dyDescent="0.4">
      <c r="B57" s="100" t="s">
        <v>675</v>
      </c>
      <c r="C57" s="101"/>
      <c r="D57" s="101"/>
      <c r="E57" s="101"/>
      <c r="F57" s="101"/>
      <c r="G57" s="101"/>
      <c r="H57" s="101"/>
      <c r="I57" s="101"/>
      <c r="J57" s="102"/>
    </row>
    <row r="58" spans="2:10" x14ac:dyDescent="0.4">
      <c r="B58" s="80"/>
      <c r="J58" s="66"/>
    </row>
    <row r="59" spans="2:10" x14ac:dyDescent="0.4">
      <c r="B59" s="80"/>
      <c r="C59" t="s">
        <v>677</v>
      </c>
      <c r="D59">
        <f>D51</f>
        <v>5</v>
      </c>
      <c r="F59" t="s">
        <v>670</v>
      </c>
      <c r="G59" s="9">
        <f>(D59*D60)/D61*60</f>
        <v>12</v>
      </c>
      <c r="J59" s="66"/>
    </row>
    <row r="60" spans="2:10" x14ac:dyDescent="0.4">
      <c r="B60" s="80"/>
      <c r="C60" t="s">
        <v>922</v>
      </c>
      <c r="D60" s="122">
        <f>D39</f>
        <v>1.2</v>
      </c>
      <c r="J60" s="66"/>
    </row>
    <row r="61" spans="2:10" x14ac:dyDescent="0.4">
      <c r="B61" s="80"/>
      <c r="C61" t="s">
        <v>918</v>
      </c>
      <c r="D61">
        <v>30</v>
      </c>
      <c r="G61" t="s">
        <v>265</v>
      </c>
      <c r="H61" t="s">
        <v>663</v>
      </c>
      <c r="I61" t="s">
        <v>645</v>
      </c>
      <c r="J61" s="66"/>
    </row>
    <row r="62" spans="2:10" x14ac:dyDescent="0.4">
      <c r="B62" s="80"/>
      <c r="C62" t="s">
        <v>916</v>
      </c>
      <c r="D62" s="119">
        <v>4</v>
      </c>
      <c r="G62" s="23">
        <f>(G59+D63+D65)*D66</f>
        <v>58.000541134156819</v>
      </c>
      <c r="H62" s="23">
        <f>C21</f>
        <v>58</v>
      </c>
      <c r="I62" s="23">
        <f>G62-H62</f>
        <v>5.4113415681911192E-4</v>
      </c>
      <c r="J62" s="66"/>
    </row>
    <row r="63" spans="2:10" x14ac:dyDescent="0.4">
      <c r="B63" s="80"/>
      <c r="C63" t="s">
        <v>915</v>
      </c>
      <c r="D63">
        <f>D62*(0.787579+0.511118*EXP(0.34175*D62))</f>
        <v>11.171929333684503</v>
      </c>
      <c r="G63" s="23"/>
      <c r="H63" s="23"/>
      <c r="I63" s="23"/>
      <c r="J63" s="66"/>
    </row>
    <row r="64" spans="2:10" x14ac:dyDescent="0.4">
      <c r="B64" s="80"/>
      <c r="C64" t="s">
        <v>669</v>
      </c>
      <c r="D64" s="124">
        <v>4.8940657087910253</v>
      </c>
      <c r="G64" s="23"/>
      <c r="H64" s="23"/>
      <c r="I64" s="23"/>
      <c r="J64" s="66"/>
    </row>
    <row r="65" spans="2:10" x14ac:dyDescent="0.4">
      <c r="B65" s="80"/>
      <c r="C65" t="s">
        <v>668</v>
      </c>
      <c r="D65">
        <f>D64*(0.569179+0.274495*EXP(0.342636*D64))</f>
        <v>9.9712370286908261</v>
      </c>
      <c r="J65" s="66"/>
    </row>
    <row r="66" spans="2:10" x14ac:dyDescent="0.4">
      <c r="B66" s="80"/>
      <c r="C66" t="s">
        <v>671</v>
      </c>
      <c r="D66">
        <f>D47</f>
        <v>1.75</v>
      </c>
      <c r="F66" t="s">
        <v>901</v>
      </c>
      <c r="G66" s="9">
        <f>G59+D62+D64</f>
        <v>20.894065708791025</v>
      </c>
      <c r="J66" s="66"/>
    </row>
    <row r="67" spans="2:10" x14ac:dyDescent="0.4">
      <c r="B67" s="80"/>
      <c r="J67" s="66"/>
    </row>
    <row r="68" spans="2:10" x14ac:dyDescent="0.4">
      <c r="B68" s="100" t="s">
        <v>914</v>
      </c>
      <c r="C68" s="101"/>
      <c r="D68" s="101"/>
      <c r="E68" s="101"/>
      <c r="F68" s="101"/>
      <c r="G68" s="101"/>
      <c r="H68" s="101"/>
      <c r="I68" s="101"/>
      <c r="J68" s="102"/>
    </row>
    <row r="69" spans="2:10" x14ac:dyDescent="0.4">
      <c r="B69" s="80"/>
      <c r="J69" s="66"/>
    </row>
    <row r="70" spans="2:10" x14ac:dyDescent="0.4">
      <c r="B70" s="80"/>
      <c r="C70" t="s">
        <v>677</v>
      </c>
      <c r="D70">
        <f>D51</f>
        <v>5</v>
      </c>
      <c r="F70" t="s">
        <v>917</v>
      </c>
      <c r="G70" s="9">
        <f>D70*D71/D75*60+D76</f>
        <v>29.064250411861615</v>
      </c>
      <c r="J70" s="66"/>
    </row>
    <row r="71" spans="2:10" x14ac:dyDescent="0.4">
      <c r="B71" s="80"/>
      <c r="C71" t="s">
        <v>680</v>
      </c>
      <c r="D71">
        <v>1.4</v>
      </c>
      <c r="J71" s="66"/>
    </row>
    <row r="72" spans="2:10" x14ac:dyDescent="0.4">
      <c r="B72" s="80"/>
      <c r="C72" t="s">
        <v>681</v>
      </c>
      <c r="D72">
        <f>estimates!C224</f>
        <v>25</v>
      </c>
      <c r="G72" t="s">
        <v>265</v>
      </c>
      <c r="H72" t="s">
        <v>663</v>
      </c>
      <c r="I72" t="s">
        <v>645</v>
      </c>
      <c r="J72" s="66"/>
    </row>
    <row r="73" spans="2:10" x14ac:dyDescent="0.4">
      <c r="B73" s="80"/>
      <c r="C73" t="s">
        <v>682</v>
      </c>
      <c r="D73">
        <f>estimates!C225</f>
        <v>18</v>
      </c>
      <c r="G73" s="23">
        <f>D77*G70</f>
        <v>56.999999999999993</v>
      </c>
      <c r="H73" s="23">
        <f>C23</f>
        <v>57</v>
      </c>
      <c r="I73" s="23">
        <f>G73-H73</f>
        <v>0</v>
      </c>
      <c r="J73" s="66"/>
    </row>
    <row r="74" spans="2:10" x14ac:dyDescent="0.4">
      <c r="B74" s="80"/>
      <c r="C74" t="s">
        <v>683</v>
      </c>
      <c r="D74" s="23">
        <f>estimates!C136</f>
        <v>0.03</v>
      </c>
      <c r="J74" s="66"/>
    </row>
    <row r="75" spans="2:10" x14ac:dyDescent="0.4">
      <c r="B75" s="80"/>
      <c r="C75" t="s">
        <v>684</v>
      </c>
      <c r="D75">
        <f>D74*D72+(1-D74)*D73</f>
        <v>18.21</v>
      </c>
      <c r="J75" s="66"/>
    </row>
    <row r="76" spans="2:10" x14ac:dyDescent="0.4">
      <c r="B76" s="80"/>
      <c r="C76" t="s">
        <v>919</v>
      </c>
      <c r="D76">
        <v>6</v>
      </c>
      <c r="J76" s="66"/>
    </row>
    <row r="77" spans="2:10" x14ac:dyDescent="0.4">
      <c r="B77" s="80"/>
      <c r="C77" t="s">
        <v>923</v>
      </c>
      <c r="D77" s="126">
        <v>1.9611722026981067</v>
      </c>
      <c r="J77" s="66"/>
    </row>
    <row r="78" spans="2:10" ht="15" thickBot="1" x14ac:dyDescent="0.45">
      <c r="B78" s="80"/>
      <c r="J78" s="66"/>
    </row>
    <row r="79" spans="2:10" x14ac:dyDescent="0.4">
      <c r="B79" s="86" t="s">
        <v>665</v>
      </c>
      <c r="C79" s="98"/>
      <c r="D79" s="98"/>
      <c r="E79" s="98"/>
      <c r="F79" s="98"/>
      <c r="G79" s="98"/>
      <c r="H79" s="98"/>
      <c r="I79" s="98"/>
      <c r="J79" s="99"/>
    </row>
    <row r="80" spans="2:10" x14ac:dyDescent="0.4">
      <c r="B80" s="80"/>
      <c r="J80" s="66"/>
    </row>
    <row r="81" spans="2:10" x14ac:dyDescent="0.4">
      <c r="B81" s="80"/>
      <c r="C81" s="106" t="s">
        <v>291</v>
      </c>
      <c r="D81" s="106"/>
      <c r="E81" s="107"/>
      <c r="F81" s="107"/>
      <c r="G81" s="107"/>
      <c r="H81" s="108"/>
      <c r="I81" s="108"/>
      <c r="J81" s="66"/>
    </row>
    <row r="82" spans="2:10" x14ac:dyDescent="0.4">
      <c r="B82" s="80"/>
      <c r="C82" s="106" t="str">
        <f>"with cref = "&amp;D85&amp;", cmax = 2 and kref = "&amp;D86&amp;" and kmin = 0.22 * kref = k(cmin) with cmin = 1"</f>
        <v>with cref = 1.3228756555323, cmax = 2 and kref = 418654 and kmin = 0.22 * kref = k(cmin) with cmin = 1</v>
      </c>
      <c r="D82" s="106"/>
      <c r="E82" s="107"/>
      <c r="F82" s="107"/>
      <c r="G82" s="107"/>
      <c r="H82" s="108"/>
      <c r="I82" s="108"/>
      <c r="J82" s="66"/>
    </row>
    <row r="83" spans="2:10" x14ac:dyDescent="0.4">
      <c r="B83" s="80"/>
      <c r="C83" s="109"/>
      <c r="D83" s="3"/>
      <c r="E83" s="109"/>
      <c r="F83" s="3"/>
      <c r="G83" s="3"/>
      <c r="J83" s="66"/>
    </row>
    <row r="84" spans="2:10" x14ac:dyDescent="0.4">
      <c r="B84" s="80"/>
      <c r="C84" t="s">
        <v>646</v>
      </c>
      <c r="D84" s="117">
        <v>1.75</v>
      </c>
      <c r="G84" s="110"/>
      <c r="J84" s="66"/>
    </row>
    <row r="85" spans="2:10" x14ac:dyDescent="0.4">
      <c r="B85" s="80"/>
      <c r="C85" t="s">
        <v>647</v>
      </c>
      <c r="D85" s="16">
        <f>SQRT(D84)</f>
        <v>1.3228756555322954</v>
      </c>
      <c r="E85" s="3" t="s">
        <v>287</v>
      </c>
      <c r="G85" s="111"/>
      <c r="J85" s="66"/>
    </row>
    <row r="86" spans="2:10" x14ac:dyDescent="0.4">
      <c r="B86" s="80"/>
      <c r="C86" t="s">
        <v>648</v>
      </c>
      <c r="D86">
        <v>418654</v>
      </c>
      <c r="J86" s="66"/>
    </row>
    <row r="87" spans="2:10" x14ac:dyDescent="0.4">
      <c r="B87" s="80"/>
      <c r="C87" t="s">
        <v>277</v>
      </c>
      <c r="D87" s="10">
        <f>estimates!C213*D89</f>
        <v>197271.06084011201</v>
      </c>
      <c r="G87" s="111"/>
      <c r="J87" s="66"/>
    </row>
    <row r="88" spans="2:10" x14ac:dyDescent="0.4">
      <c r="B88" s="80"/>
      <c r="C88" t="s">
        <v>293</v>
      </c>
      <c r="D88" s="10">
        <f>D89-D87</f>
        <v>684470.80200584314</v>
      </c>
      <c r="F88" t="s">
        <v>645</v>
      </c>
      <c r="G88" s="16"/>
      <c r="J88" s="66"/>
    </row>
    <row r="89" spans="2:10" x14ac:dyDescent="0.4">
      <c r="B89" s="80"/>
      <c r="C89" t="s">
        <v>292</v>
      </c>
      <c r="D89" s="121">
        <v>881741.86284595518</v>
      </c>
      <c r="F89" s="23" t="e">
        <f>D85-D90</f>
        <v>#VALUE!</v>
      </c>
      <c r="G89" s="10"/>
      <c r="J89" s="66"/>
    </row>
    <row r="90" spans="2:10" x14ac:dyDescent="0.4">
      <c r="B90" s="80"/>
      <c r="C90" t="s">
        <v>672</v>
      </c>
      <c r="D90" t="s">
        <v>991</v>
      </c>
      <c r="G90" s="10"/>
      <c r="J90" s="66"/>
    </row>
    <row r="91" spans="2:10" ht="15" thickBot="1" x14ac:dyDescent="0.45">
      <c r="B91" s="80"/>
      <c r="G91" s="10"/>
      <c r="J91" s="66"/>
    </row>
    <row r="92" spans="2:10" x14ac:dyDescent="0.4">
      <c r="B92" s="86" t="s">
        <v>666</v>
      </c>
      <c r="C92" s="98"/>
      <c r="D92" s="98"/>
      <c r="E92" s="98"/>
      <c r="F92" s="98"/>
      <c r="G92" s="98"/>
      <c r="H92" s="98"/>
      <c r="I92" s="98"/>
      <c r="J92" s="99"/>
    </row>
    <row r="93" spans="2:10" x14ac:dyDescent="0.4">
      <c r="B93" s="80"/>
      <c r="J93" s="66"/>
    </row>
    <row r="94" spans="2:10" x14ac:dyDescent="0.4">
      <c r="B94" s="80"/>
      <c r="C94" s="203" t="s">
        <v>244</v>
      </c>
      <c r="D94" s="203"/>
      <c r="E94" s="107"/>
      <c r="F94" s="107"/>
      <c r="G94" s="107"/>
      <c r="H94" s="108"/>
      <c r="I94" s="108"/>
      <c r="J94" s="66"/>
    </row>
    <row r="95" spans="2:10" x14ac:dyDescent="0.4">
      <c r="B95" s="80"/>
      <c r="C95" s="202" t="s">
        <v>240</v>
      </c>
      <c r="D95" s="202"/>
      <c r="E95" s="107"/>
      <c r="F95" s="107"/>
      <c r="G95" s="107"/>
      <c r="H95" s="108"/>
      <c r="I95" s="108"/>
      <c r="J95" s="66"/>
    </row>
    <row r="96" spans="2:10" x14ac:dyDescent="0.4">
      <c r="B96" s="80"/>
      <c r="C96" s="202" t="s">
        <v>241</v>
      </c>
      <c r="D96" s="202"/>
      <c r="E96" s="106"/>
      <c r="F96" s="107"/>
      <c r="G96" s="107"/>
      <c r="H96" s="108"/>
      <c r="I96" s="108"/>
      <c r="J96" s="66"/>
    </row>
    <row r="97" spans="2:14" x14ac:dyDescent="0.4">
      <c r="B97" s="80"/>
      <c r="C97" s="202" t="str">
        <f>"-v(t)/vf+1 = k(t)/kc"</f>
        <v>-v(t)/vf+1 = k(t)/kc</v>
      </c>
      <c r="D97" s="202"/>
      <c r="E97" s="108"/>
      <c r="F97" s="108"/>
      <c r="G97" s="115"/>
      <c r="H97" s="108"/>
      <c r="I97" s="108"/>
      <c r="J97" s="66"/>
    </row>
    <row r="98" spans="2:14" x14ac:dyDescent="0.4">
      <c r="B98" s="80"/>
      <c r="C98" s="202" t="s">
        <v>243</v>
      </c>
      <c r="D98" s="202"/>
      <c r="E98" s="108"/>
      <c r="F98" s="108"/>
      <c r="G98" s="116"/>
      <c r="H98" s="108"/>
      <c r="I98" s="108"/>
      <c r="J98" s="66"/>
    </row>
    <row r="99" spans="2:14" x14ac:dyDescent="0.4">
      <c r="B99" s="80"/>
      <c r="C99" s="202" t="s">
        <v>242</v>
      </c>
      <c r="D99" s="202"/>
      <c r="E99" s="108"/>
      <c r="F99" s="108"/>
      <c r="G99" s="116"/>
      <c r="H99" s="108"/>
      <c r="I99" s="108"/>
      <c r="J99" s="66"/>
      <c r="M99" s="9"/>
      <c r="N99" s="3"/>
    </row>
    <row r="100" spans="2:14" x14ac:dyDescent="0.4">
      <c r="B100" s="80"/>
      <c r="J100" s="66"/>
    </row>
    <row r="101" spans="2:14" x14ac:dyDescent="0.4">
      <c r="B101" s="80"/>
      <c r="C101" t="s">
        <v>110</v>
      </c>
      <c r="D101">
        <f>estimates!C206</f>
        <v>30</v>
      </c>
      <c r="F101" t="s">
        <v>95</v>
      </c>
      <c r="G101" s="10"/>
      <c r="J101" s="66"/>
      <c r="M101" s="10"/>
    </row>
    <row r="102" spans="2:14" x14ac:dyDescent="0.4">
      <c r="B102" s="80"/>
      <c r="C102" t="s">
        <v>111</v>
      </c>
      <c r="D102">
        <f>estimates!C205</f>
        <v>18</v>
      </c>
      <c r="F102" t="s">
        <v>95</v>
      </c>
      <c r="G102" s="10"/>
      <c r="J102" s="66"/>
      <c r="M102" s="10"/>
    </row>
    <row r="103" spans="2:14" x14ac:dyDescent="0.4">
      <c r="B103" s="80"/>
      <c r="C103" t="s">
        <v>108</v>
      </c>
      <c r="D103" s="117">
        <v>2.2557000000000001E-2</v>
      </c>
      <c r="F103" t="s">
        <v>109</v>
      </c>
      <c r="G103" s="10"/>
      <c r="J103" s="66"/>
      <c r="M103" s="10"/>
    </row>
    <row r="104" spans="2:14" x14ac:dyDescent="0.4">
      <c r="B104" s="80"/>
      <c r="C104" t="s">
        <v>107</v>
      </c>
      <c r="D104">
        <f>D103/(1-D102/D101)</f>
        <v>5.6392499999999998E-2</v>
      </c>
      <c r="G104" s="10"/>
      <c r="J104" s="66"/>
    </row>
    <row r="105" spans="2:14" ht="15" thickBot="1" x14ac:dyDescent="0.45">
      <c r="B105" s="83"/>
      <c r="C105" s="67"/>
      <c r="D105" s="67"/>
      <c r="E105" s="67"/>
      <c r="F105" s="67"/>
      <c r="G105" s="67"/>
      <c r="H105" s="67"/>
      <c r="I105" s="67"/>
      <c r="J105" s="68"/>
    </row>
  </sheetData>
  <mergeCells count="6">
    <mergeCell ref="C99:D99"/>
    <mergeCell ref="C94:D94"/>
    <mergeCell ref="C95:D95"/>
    <mergeCell ref="C96:D96"/>
    <mergeCell ref="C97:D97"/>
    <mergeCell ref="C98:D9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olve_Beta_8">
                <anchor moveWithCells="1" sizeWithCells="1">
                  <from>
                    <xdr:col>8</xdr:col>
                    <xdr:colOff>0</xdr:colOff>
                    <xdr:row>3</xdr:row>
                    <xdr:rowOff>174171</xdr:rowOff>
                  </from>
                  <to>
                    <xdr:col>8</xdr:col>
                    <xdr:colOff>604157</xdr:colOff>
                    <xdr:row>5</xdr:row>
                    <xdr:rowOff>0</xdr:rowOff>
                  </to>
                </anchor>
              </controlPr>
            </control>
          </mc:Choice>
        </mc:AlternateContent>
        <mc:AlternateContent xmlns:mc="http://schemas.openxmlformats.org/markup-compatibility/2006">
          <mc:Choice Requires="x14">
            <control shapeId="5122" r:id="rId5" name="Button 2">
              <controlPr defaultSize="0" print="0" autoFill="0" autoPict="0" macro="[0]!Solve_Beta_5">
                <anchor moveWithCells="1" sizeWithCells="1">
                  <from>
                    <xdr:col>8</xdr:col>
                    <xdr:colOff>0</xdr:colOff>
                    <xdr:row>14</xdr:row>
                    <xdr:rowOff>157843</xdr:rowOff>
                  </from>
                  <to>
                    <xdr:col>8</xdr:col>
                    <xdr:colOff>604157</xdr:colOff>
                    <xdr:row>15</xdr:row>
                    <xdr:rowOff>174171</xdr:rowOff>
                  </to>
                </anchor>
              </controlPr>
            </control>
          </mc:Choice>
        </mc:AlternateContent>
        <mc:AlternateContent xmlns:mc="http://schemas.openxmlformats.org/markup-compatibility/2006">
          <mc:Choice Requires="x14">
            <control shapeId="5126" r:id="rId6" name="Button 6">
              <controlPr defaultSize="0" print="0" autoFill="0" autoPict="0" macro="[0]!Solve_overcrowding">
                <anchor moveWithCells="1" sizeWithCells="1">
                  <from>
                    <xdr:col>7</xdr:col>
                    <xdr:colOff>32657</xdr:colOff>
                    <xdr:row>87</xdr:row>
                    <xdr:rowOff>168729</xdr:rowOff>
                  </from>
                  <to>
                    <xdr:col>7</xdr:col>
                    <xdr:colOff>631371</xdr:colOff>
                    <xdr:row>89</xdr:row>
                    <xdr:rowOff>0</xdr:rowOff>
                  </to>
                </anchor>
              </controlPr>
            </control>
          </mc:Choice>
        </mc:AlternateContent>
        <mc:AlternateContent xmlns:mc="http://schemas.openxmlformats.org/markup-compatibility/2006">
          <mc:Choice Requires="x14">
            <control shapeId="5123" r:id="rId7" name="Button 3">
              <controlPr defaultSize="0" print="0" autoFill="0" autoPict="0" macro="[0]!Solve_searchtime_long">
                <anchor moveWithCells="1" sizeWithCells="1">
                  <from>
                    <xdr:col>8</xdr:col>
                    <xdr:colOff>5443</xdr:colOff>
                    <xdr:row>28</xdr:row>
                    <xdr:rowOff>168729</xdr:rowOff>
                  </from>
                  <to>
                    <xdr:col>9</xdr:col>
                    <xdr:colOff>0</xdr:colOff>
                    <xdr:row>30</xdr:row>
                    <xdr:rowOff>0</xdr:rowOff>
                  </to>
                </anchor>
              </controlPr>
            </control>
          </mc:Choice>
        </mc:AlternateContent>
        <mc:AlternateContent xmlns:mc="http://schemas.openxmlformats.org/markup-compatibility/2006">
          <mc:Choice Requires="x14">
            <control shapeId="5128" r:id="rId8" name="Button 8">
              <controlPr defaultSize="0" print="0" autoFill="0" autoPict="0" macro="[0]!solve_car_network_dist_mid">
                <anchor moveWithCells="1" sizeWithCells="1">
                  <from>
                    <xdr:col>8</xdr:col>
                    <xdr:colOff>5443</xdr:colOff>
                    <xdr:row>49</xdr:row>
                    <xdr:rowOff>168729</xdr:rowOff>
                  </from>
                  <to>
                    <xdr:col>9</xdr:col>
                    <xdr:colOff>0</xdr:colOff>
                    <xdr:row>51</xdr:row>
                    <xdr:rowOff>0</xdr:rowOff>
                  </to>
                </anchor>
              </controlPr>
            </control>
          </mc:Choice>
        </mc:AlternateContent>
        <mc:AlternateContent xmlns:mc="http://schemas.openxmlformats.org/markup-compatibility/2006">
          <mc:Choice Requires="x14">
            <control shapeId="5127" r:id="rId9" name="Button 7">
              <controlPr defaultSize="0" print="0" autoFill="0" autoPict="0" macro="[0]!solve_long_PT_access">
                <anchor moveWithCells="1" sizeWithCells="1">
                  <from>
                    <xdr:col>7</xdr:col>
                    <xdr:colOff>702129</xdr:colOff>
                    <xdr:row>36</xdr:row>
                    <xdr:rowOff>157843</xdr:rowOff>
                  </from>
                  <to>
                    <xdr:col>8</xdr:col>
                    <xdr:colOff>593271</xdr:colOff>
                    <xdr:row>37</xdr:row>
                    <xdr:rowOff>174171</xdr:rowOff>
                  </to>
                </anchor>
              </controlPr>
            </control>
          </mc:Choice>
        </mc:AlternateContent>
        <mc:AlternateContent xmlns:mc="http://schemas.openxmlformats.org/markup-compatibility/2006">
          <mc:Choice Requires="x14">
            <control shapeId="5129" r:id="rId10" name="Button 9">
              <controlPr defaultSize="0" print="0" autoFill="0" autoPict="0" macro="[0]!solve_PT_mid_speed">
                <anchor moveWithCells="1" sizeWithCells="1">
                  <from>
                    <xdr:col>7</xdr:col>
                    <xdr:colOff>702129</xdr:colOff>
                    <xdr:row>57</xdr:row>
                    <xdr:rowOff>157843</xdr:rowOff>
                  </from>
                  <to>
                    <xdr:col>8</xdr:col>
                    <xdr:colOff>593271</xdr:colOff>
                    <xdr:row>58</xdr:row>
                    <xdr:rowOff>174171</xdr:rowOff>
                  </to>
                </anchor>
              </controlPr>
            </control>
          </mc:Choice>
        </mc:AlternateContent>
        <mc:AlternateContent xmlns:mc="http://schemas.openxmlformats.org/markup-compatibility/2006">
          <mc:Choice Requires="x14">
            <control shapeId="5130" r:id="rId11" name="Button 10">
              <controlPr defaultSize="0" print="0" autoFill="0" autoPict="0" macro="[0]!solve_cycling_valuation">
                <anchor moveWithCells="1" sizeWithCells="1">
                  <from>
                    <xdr:col>8</xdr:col>
                    <xdr:colOff>0</xdr:colOff>
                    <xdr:row>68</xdr:row>
                    <xdr:rowOff>168729</xdr:rowOff>
                  </from>
                  <to>
                    <xdr:col>8</xdr:col>
                    <xdr:colOff>604157</xdr:colOff>
                    <xdr:row>70</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X155"/>
  <sheetViews>
    <sheetView zoomScale="85" zoomScaleNormal="85" workbookViewId="0">
      <selection activeCell="B2" sqref="B2"/>
    </sheetView>
  </sheetViews>
  <sheetFormatPr defaultRowHeight="14.6" x14ac:dyDescent="0.4"/>
  <cols>
    <col min="1" max="1" width="3.4609375" customWidth="1"/>
    <col min="2" max="2" width="16.69140625" customWidth="1"/>
    <col min="3" max="3" width="16.4609375" customWidth="1"/>
    <col min="4" max="5" width="45.69140625" bestFit="1" customWidth="1"/>
    <col min="6" max="6" width="23" customWidth="1"/>
    <col min="7" max="7" width="15.07421875" bestFit="1" customWidth="1"/>
    <col min="8" max="9" width="20.765625" customWidth="1"/>
    <col min="10" max="10" width="59.3046875" customWidth="1"/>
    <col min="11" max="11" width="5.23046875" customWidth="1"/>
    <col min="12" max="12" width="21.53515625" customWidth="1"/>
    <col min="13" max="13" width="20.07421875" customWidth="1"/>
    <col min="14" max="17" width="9.765625" customWidth="1"/>
    <col min="18" max="19" width="8.84375" customWidth="1"/>
    <col min="20" max="20" width="9.53515625" bestFit="1" customWidth="1"/>
    <col min="23" max="23" width="10.53515625" bestFit="1" customWidth="1"/>
  </cols>
  <sheetData>
    <row r="2" spans="2:10" x14ac:dyDescent="0.4">
      <c r="B2" t="s">
        <v>59</v>
      </c>
    </row>
    <row r="3" spans="2:10" ht="15" thickBot="1" x14ac:dyDescent="0.45"/>
    <row r="4" spans="2:10" x14ac:dyDescent="0.4">
      <c r="B4" s="69" t="s">
        <v>0</v>
      </c>
      <c r="C4" s="70" t="s">
        <v>2</v>
      </c>
      <c r="D4" s="70" t="s">
        <v>1</v>
      </c>
      <c r="E4" s="70" t="s">
        <v>4</v>
      </c>
      <c r="F4" s="70" t="s">
        <v>3</v>
      </c>
      <c r="G4" s="70" t="s">
        <v>34</v>
      </c>
      <c r="H4" s="207" t="s">
        <v>5</v>
      </c>
      <c r="I4" s="207"/>
      <c r="J4" s="208"/>
    </row>
    <row r="5" spans="2:10" x14ac:dyDescent="0.4">
      <c r="B5" s="204" t="s">
        <v>54</v>
      </c>
      <c r="C5" t="s">
        <v>6</v>
      </c>
      <c r="D5" t="s">
        <v>9</v>
      </c>
      <c r="E5" t="s">
        <v>352</v>
      </c>
      <c r="F5" s="10">
        <f>estimates!C4</f>
        <v>866.44</v>
      </c>
      <c r="G5" t="s">
        <v>31</v>
      </c>
      <c r="J5" s="66"/>
    </row>
    <row r="6" spans="2:10" x14ac:dyDescent="0.4">
      <c r="B6" s="204"/>
      <c r="C6" t="s">
        <v>6</v>
      </c>
      <c r="D6" t="s">
        <v>12</v>
      </c>
      <c r="E6" t="s">
        <v>353</v>
      </c>
      <c r="F6" s="10">
        <f>estimates!C5</f>
        <v>197</v>
      </c>
      <c r="G6" t="s">
        <v>31</v>
      </c>
      <c r="J6" s="66"/>
    </row>
    <row r="7" spans="2:10" x14ac:dyDescent="0.4">
      <c r="B7" s="204"/>
      <c r="C7" t="s">
        <v>6</v>
      </c>
      <c r="D7" t="s">
        <v>10</v>
      </c>
      <c r="E7" t="s">
        <v>351</v>
      </c>
      <c r="F7" s="10">
        <f>estimates!C7</f>
        <v>98.56</v>
      </c>
      <c r="G7" t="s">
        <v>31</v>
      </c>
      <c r="J7" s="66"/>
    </row>
    <row r="8" spans="2:10" x14ac:dyDescent="0.4">
      <c r="B8" s="204"/>
      <c r="C8" t="s">
        <v>6</v>
      </c>
      <c r="D8" t="s">
        <v>11</v>
      </c>
      <c r="E8" t="s">
        <v>354</v>
      </c>
      <c r="F8" s="10">
        <f>estimates!C6</f>
        <v>1515</v>
      </c>
      <c r="G8" t="s">
        <v>31</v>
      </c>
      <c r="J8" s="66"/>
    </row>
    <row r="9" spans="2:10" x14ac:dyDescent="0.4">
      <c r="B9" s="204"/>
      <c r="C9" t="s">
        <v>6</v>
      </c>
      <c r="D9" t="s">
        <v>350</v>
      </c>
      <c r="E9" t="s">
        <v>355</v>
      </c>
      <c r="F9">
        <f>estimates!C10</f>
        <v>18423</v>
      </c>
      <c r="G9" t="s">
        <v>31</v>
      </c>
      <c r="J9" s="66"/>
    </row>
    <row r="10" spans="2:10" x14ac:dyDescent="0.4">
      <c r="B10" s="204"/>
      <c r="C10" t="s">
        <v>6</v>
      </c>
      <c r="D10" t="s">
        <v>13</v>
      </c>
      <c r="E10" t="s">
        <v>358</v>
      </c>
      <c r="F10">
        <v>0</v>
      </c>
      <c r="G10" t="s">
        <v>31</v>
      </c>
      <c r="J10" s="66"/>
    </row>
    <row r="11" spans="2:10" x14ac:dyDescent="0.4">
      <c r="B11" s="204"/>
      <c r="C11" t="s">
        <v>6</v>
      </c>
      <c r="D11" t="s">
        <v>14</v>
      </c>
      <c r="E11" t="s">
        <v>357</v>
      </c>
      <c r="F11">
        <v>0</v>
      </c>
      <c r="G11" t="s">
        <v>31</v>
      </c>
      <c r="J11" s="66"/>
    </row>
    <row r="12" spans="2:10" x14ac:dyDescent="0.4">
      <c r="B12" s="204"/>
      <c r="C12" t="s">
        <v>6</v>
      </c>
      <c r="D12" t="s">
        <v>472</v>
      </c>
      <c r="E12" t="s">
        <v>471</v>
      </c>
      <c r="F12">
        <f>estimates!C29*1000</f>
        <v>1567000</v>
      </c>
      <c r="G12" t="s">
        <v>96</v>
      </c>
      <c r="J12" s="66"/>
    </row>
    <row r="13" spans="2:10" x14ac:dyDescent="0.4">
      <c r="B13" s="204"/>
      <c r="C13" t="s">
        <v>7</v>
      </c>
      <c r="D13" t="s">
        <v>37</v>
      </c>
      <c r="E13">
        <v>0</v>
      </c>
      <c r="G13" t="s">
        <v>35</v>
      </c>
      <c r="J13" s="66"/>
    </row>
    <row r="14" spans="2:10" x14ac:dyDescent="0.4">
      <c r="B14" s="204"/>
      <c r="C14" t="s">
        <v>7</v>
      </c>
      <c r="D14" t="s">
        <v>38</v>
      </c>
      <c r="E14" t="s">
        <v>359</v>
      </c>
      <c r="G14" t="s">
        <v>35</v>
      </c>
      <c r="J14" s="66"/>
    </row>
    <row r="15" spans="2:10" x14ac:dyDescent="0.4">
      <c r="B15" s="204"/>
      <c r="C15" t="s">
        <v>7</v>
      </c>
      <c r="D15" t="s">
        <v>39</v>
      </c>
      <c r="E15">
        <v>0</v>
      </c>
      <c r="G15" t="s">
        <v>35</v>
      </c>
      <c r="J15" s="66"/>
    </row>
    <row r="16" spans="2:10" x14ac:dyDescent="0.4">
      <c r="B16" s="204"/>
      <c r="C16" t="s">
        <v>7</v>
      </c>
      <c r="D16" t="s">
        <v>40</v>
      </c>
      <c r="E16" t="s">
        <v>360</v>
      </c>
      <c r="G16" t="s">
        <v>35</v>
      </c>
      <c r="J16" s="66"/>
    </row>
    <row r="17" spans="2:10" x14ac:dyDescent="0.4">
      <c r="B17" s="204"/>
      <c r="C17" t="s">
        <v>7</v>
      </c>
      <c r="D17" t="s">
        <v>41</v>
      </c>
      <c r="E17" t="s">
        <v>362</v>
      </c>
      <c r="G17" t="s">
        <v>35</v>
      </c>
      <c r="J17" s="66"/>
    </row>
    <row r="18" spans="2:10" x14ac:dyDescent="0.4">
      <c r="B18" s="204"/>
      <c r="C18" t="s">
        <v>7</v>
      </c>
      <c r="D18" t="s">
        <v>42</v>
      </c>
      <c r="E18" t="s">
        <v>361</v>
      </c>
      <c r="G18" t="s">
        <v>35</v>
      </c>
      <c r="J18" s="66"/>
    </row>
    <row r="19" spans="2:10" x14ac:dyDescent="0.4">
      <c r="B19" s="204"/>
      <c r="C19" t="s">
        <v>7</v>
      </c>
      <c r="D19" t="s">
        <v>43</v>
      </c>
      <c r="E19">
        <v>0</v>
      </c>
      <c r="G19" t="s">
        <v>35</v>
      </c>
      <c r="J19" s="66"/>
    </row>
    <row r="20" spans="2:10" x14ac:dyDescent="0.4">
      <c r="B20" s="204"/>
      <c r="C20" t="s">
        <v>7</v>
      </c>
      <c r="D20" t="s">
        <v>475</v>
      </c>
      <c r="E20">
        <v>0</v>
      </c>
      <c r="G20" t="s">
        <v>35</v>
      </c>
      <c r="J20" s="66"/>
    </row>
    <row r="21" spans="2:10" x14ac:dyDescent="0.4">
      <c r="B21" s="204"/>
      <c r="C21" t="s">
        <v>7</v>
      </c>
      <c r="D21" t="s">
        <v>474</v>
      </c>
      <c r="E21" t="s">
        <v>473</v>
      </c>
      <c r="J21" s="66"/>
    </row>
    <row r="22" spans="2:10" x14ac:dyDescent="0.4">
      <c r="B22" s="204"/>
      <c r="C22" t="s">
        <v>8</v>
      </c>
      <c r="D22" t="s">
        <v>356</v>
      </c>
      <c r="E22" t="s">
        <v>363</v>
      </c>
      <c r="G22" t="s">
        <v>366</v>
      </c>
      <c r="H22" t="s">
        <v>367</v>
      </c>
      <c r="J22" s="66"/>
    </row>
    <row r="23" spans="2:10" x14ac:dyDescent="0.4">
      <c r="B23" s="204"/>
      <c r="C23" t="s">
        <v>8</v>
      </c>
      <c r="D23" t="s">
        <v>44</v>
      </c>
      <c r="E23" t="s">
        <v>36</v>
      </c>
      <c r="G23" t="s">
        <v>31</v>
      </c>
      <c r="J23" s="66"/>
    </row>
    <row r="24" spans="2:10" x14ac:dyDescent="0.4">
      <c r="B24" s="204"/>
      <c r="C24" t="s">
        <v>8</v>
      </c>
      <c r="D24" t="s">
        <v>467</v>
      </c>
      <c r="E24" t="s">
        <v>469</v>
      </c>
      <c r="J24" s="66"/>
    </row>
    <row r="25" spans="2:10" x14ac:dyDescent="0.4">
      <c r="B25" s="204"/>
      <c r="C25" t="s">
        <v>8</v>
      </c>
      <c r="D25" t="s">
        <v>468</v>
      </c>
      <c r="E25" t="s">
        <v>470</v>
      </c>
      <c r="J25" s="66"/>
    </row>
    <row r="26" spans="2:10" x14ac:dyDescent="0.4">
      <c r="B26" s="204"/>
      <c r="C26" t="s">
        <v>45</v>
      </c>
      <c r="D26" t="s">
        <v>47</v>
      </c>
      <c r="E26">
        <v>4</v>
      </c>
      <c r="G26" t="s">
        <v>48</v>
      </c>
      <c r="J26" s="66"/>
    </row>
    <row r="27" spans="2:10" x14ac:dyDescent="0.4">
      <c r="B27" s="204"/>
      <c r="C27" t="s">
        <v>45</v>
      </c>
      <c r="D27" t="s">
        <v>49</v>
      </c>
      <c r="E27">
        <v>0.8</v>
      </c>
      <c r="G27" t="s">
        <v>53</v>
      </c>
      <c r="H27" t="s">
        <v>51</v>
      </c>
      <c r="J27" s="66"/>
    </row>
    <row r="28" spans="2:10" x14ac:dyDescent="0.4">
      <c r="B28" s="204"/>
      <c r="C28" t="s">
        <v>45</v>
      </c>
      <c r="D28" t="s">
        <v>50</v>
      </c>
      <c r="E28">
        <v>0.75</v>
      </c>
      <c r="G28" t="s">
        <v>53</v>
      </c>
      <c r="H28" t="s">
        <v>52</v>
      </c>
      <c r="J28" s="66"/>
    </row>
    <row r="29" spans="2:10" x14ac:dyDescent="0.4">
      <c r="B29" s="204"/>
      <c r="C29" t="s">
        <v>45</v>
      </c>
      <c r="D29" t="s">
        <v>46</v>
      </c>
      <c r="E29" s="9">
        <f>estimates!C16</f>
        <v>509.30218996062985</v>
      </c>
      <c r="G29" t="s">
        <v>31</v>
      </c>
      <c r="J29" s="66"/>
    </row>
    <row r="30" spans="2:10" x14ac:dyDescent="0.4">
      <c r="B30" s="204"/>
      <c r="C30" t="s">
        <v>45</v>
      </c>
      <c r="D30" t="s">
        <v>364</v>
      </c>
      <c r="E30" s="75">
        <v>9.6000000000000002E-4</v>
      </c>
      <c r="G30" t="s">
        <v>365</v>
      </c>
      <c r="J30" s="66"/>
    </row>
    <row r="31" spans="2:10" x14ac:dyDescent="0.4">
      <c r="B31" s="204"/>
      <c r="C31" t="s">
        <v>45</v>
      </c>
      <c r="D31" t="s">
        <v>476</v>
      </c>
      <c r="E31" s="75"/>
      <c r="J31" s="66"/>
    </row>
    <row r="32" spans="2:10" ht="15" thickBot="1" x14ac:dyDescent="0.45">
      <c r="B32" s="205"/>
      <c r="C32" s="67"/>
      <c r="D32" s="67"/>
      <c r="E32" s="67"/>
      <c r="F32" s="67"/>
      <c r="G32" s="67"/>
      <c r="H32" s="67"/>
      <c r="I32" s="67"/>
      <c r="J32" s="68"/>
    </row>
    <row r="33" spans="2:10" x14ac:dyDescent="0.4">
      <c r="B33" s="206" t="s">
        <v>368</v>
      </c>
      <c r="C33" s="64" t="s">
        <v>8</v>
      </c>
      <c r="D33" s="64" t="s">
        <v>97</v>
      </c>
      <c r="E33" s="64" t="s">
        <v>371</v>
      </c>
      <c r="F33" s="64"/>
      <c r="G33" s="64" t="s">
        <v>96</v>
      </c>
      <c r="H33" s="64"/>
      <c r="I33" s="64"/>
      <c r="J33" s="65"/>
    </row>
    <row r="34" spans="2:10" x14ac:dyDescent="0.4">
      <c r="B34" s="204"/>
      <c r="C34" t="s">
        <v>8</v>
      </c>
      <c r="D34" t="s">
        <v>370</v>
      </c>
      <c r="E34" t="s">
        <v>171</v>
      </c>
      <c r="G34" t="s">
        <v>53</v>
      </c>
      <c r="H34" t="s">
        <v>162</v>
      </c>
      <c r="J34" s="66"/>
    </row>
    <row r="35" spans="2:10" x14ac:dyDescent="0.4">
      <c r="B35" s="204"/>
      <c r="C35" t="s">
        <v>8</v>
      </c>
      <c r="D35" t="s">
        <v>369</v>
      </c>
      <c r="E35" t="s">
        <v>98</v>
      </c>
      <c r="G35" t="s">
        <v>95</v>
      </c>
      <c r="J35" s="66"/>
    </row>
    <row r="36" spans="2:10" x14ac:dyDescent="0.4">
      <c r="B36" s="204"/>
      <c r="C36" t="s">
        <v>8</v>
      </c>
      <c r="D36" t="s">
        <v>372</v>
      </c>
      <c r="E36" t="s">
        <v>384</v>
      </c>
      <c r="G36" t="s">
        <v>100</v>
      </c>
      <c r="J36" s="66"/>
    </row>
    <row r="37" spans="2:10" x14ac:dyDescent="0.4">
      <c r="B37" s="204"/>
      <c r="C37" t="s">
        <v>8</v>
      </c>
      <c r="D37" t="s">
        <v>93</v>
      </c>
      <c r="E37" t="s">
        <v>94</v>
      </c>
      <c r="G37" t="s">
        <v>99</v>
      </c>
      <c r="J37" s="66"/>
    </row>
    <row r="38" spans="2:10" x14ac:dyDescent="0.4">
      <c r="B38" s="204"/>
      <c r="C38" t="s">
        <v>8</v>
      </c>
      <c r="D38" t="s">
        <v>400</v>
      </c>
      <c r="E38" t="s">
        <v>373</v>
      </c>
      <c r="G38" t="s">
        <v>70</v>
      </c>
      <c r="J38" s="66"/>
    </row>
    <row r="39" spans="2:10" x14ac:dyDescent="0.4">
      <c r="B39" s="204"/>
      <c r="C39" t="s">
        <v>8</v>
      </c>
      <c r="D39" t="s">
        <v>374</v>
      </c>
      <c r="E39" t="s">
        <v>376</v>
      </c>
      <c r="G39" t="s">
        <v>53</v>
      </c>
      <c r="H39" t="s">
        <v>375</v>
      </c>
      <c r="J39" s="66"/>
    </row>
    <row r="40" spans="2:10" x14ac:dyDescent="0.4">
      <c r="B40" s="204"/>
      <c r="C40" t="s">
        <v>8</v>
      </c>
      <c r="D40" t="s">
        <v>377</v>
      </c>
      <c r="E40" t="s">
        <v>378</v>
      </c>
      <c r="G40" t="s">
        <v>53</v>
      </c>
      <c r="H40" t="s">
        <v>379</v>
      </c>
      <c r="J40" s="66"/>
    </row>
    <row r="41" spans="2:10" x14ac:dyDescent="0.4">
      <c r="B41" s="204"/>
      <c r="C41" t="s">
        <v>8</v>
      </c>
      <c r="D41" t="s">
        <v>380</v>
      </c>
      <c r="E41" t="s">
        <v>385</v>
      </c>
      <c r="G41" t="s">
        <v>397</v>
      </c>
      <c r="J41" s="66"/>
    </row>
    <row r="42" spans="2:10" x14ac:dyDescent="0.4">
      <c r="B42" s="204"/>
      <c r="C42" t="s">
        <v>8</v>
      </c>
      <c r="D42" t="s">
        <v>382</v>
      </c>
      <c r="E42" t="s">
        <v>386</v>
      </c>
      <c r="G42" t="s">
        <v>70</v>
      </c>
      <c r="J42" s="66"/>
    </row>
    <row r="43" spans="2:10" x14ac:dyDescent="0.4">
      <c r="B43" s="204"/>
      <c r="C43" t="s">
        <v>45</v>
      </c>
      <c r="D43" t="s">
        <v>213</v>
      </c>
      <c r="E43">
        <v>10000</v>
      </c>
      <c r="G43" t="s">
        <v>387</v>
      </c>
      <c r="J43" s="66"/>
    </row>
    <row r="44" spans="2:10" x14ac:dyDescent="0.4">
      <c r="B44" s="204"/>
      <c r="C44" t="s">
        <v>45</v>
      </c>
      <c r="D44" t="s">
        <v>102</v>
      </c>
      <c r="E44">
        <v>30</v>
      </c>
      <c r="G44" t="s">
        <v>95</v>
      </c>
      <c r="J44" s="66"/>
    </row>
    <row r="45" spans="2:10" x14ac:dyDescent="0.4">
      <c r="B45" s="204"/>
      <c r="C45" t="s">
        <v>45</v>
      </c>
      <c r="D45" t="s">
        <v>383</v>
      </c>
      <c r="E45">
        <v>30</v>
      </c>
      <c r="G45" t="s">
        <v>95</v>
      </c>
      <c r="J45" s="66"/>
    </row>
    <row r="46" spans="2:10" x14ac:dyDescent="0.4">
      <c r="B46" s="204"/>
      <c r="C46" t="s">
        <v>45</v>
      </c>
      <c r="D46" t="s">
        <v>114</v>
      </c>
      <c r="E46" s="16">
        <f>callibration!D104</f>
        <v>5.6392499999999998E-2</v>
      </c>
      <c r="G46" t="s">
        <v>99</v>
      </c>
      <c r="J46" s="66"/>
    </row>
    <row r="47" spans="2:10" x14ac:dyDescent="0.4">
      <c r="B47" s="204"/>
      <c r="C47" t="s">
        <v>45</v>
      </c>
      <c r="D47" t="s">
        <v>390</v>
      </c>
      <c r="E47" s="10">
        <f>estimates!C201</f>
        <v>4</v>
      </c>
      <c r="G47" t="s">
        <v>101</v>
      </c>
      <c r="J47" s="66"/>
    </row>
    <row r="48" spans="2:10" x14ac:dyDescent="0.4">
      <c r="B48" s="204"/>
      <c r="C48" t="s">
        <v>45</v>
      </c>
      <c r="D48" t="s">
        <v>388</v>
      </c>
      <c r="E48">
        <f>estimates!C200</f>
        <v>0.4</v>
      </c>
      <c r="G48" t="s">
        <v>53</v>
      </c>
      <c r="J48" s="66"/>
    </row>
    <row r="49" spans="2:10" x14ac:dyDescent="0.4">
      <c r="B49" s="204"/>
      <c r="C49" t="s">
        <v>45</v>
      </c>
      <c r="D49" t="s">
        <v>389</v>
      </c>
      <c r="E49" s="76">
        <f>estimates!C204</f>
        <v>1.2</v>
      </c>
      <c r="G49" t="s">
        <v>395</v>
      </c>
      <c r="J49" s="66"/>
    </row>
    <row r="50" spans="2:10" x14ac:dyDescent="0.4">
      <c r="B50" s="204"/>
      <c r="C50" t="s">
        <v>45</v>
      </c>
      <c r="D50" t="s">
        <v>391</v>
      </c>
      <c r="E50">
        <v>1</v>
      </c>
      <c r="G50" t="s">
        <v>396</v>
      </c>
      <c r="J50" s="66"/>
    </row>
    <row r="51" spans="2:10" x14ac:dyDescent="0.4">
      <c r="B51" s="204"/>
      <c r="C51" t="s">
        <v>45</v>
      </c>
      <c r="D51" t="s">
        <v>392</v>
      </c>
      <c r="E51" s="10">
        <f>callibration!D87</f>
        <v>197271.06084011201</v>
      </c>
      <c r="G51" t="s">
        <v>397</v>
      </c>
      <c r="J51" s="66"/>
    </row>
    <row r="52" spans="2:10" x14ac:dyDescent="0.4">
      <c r="B52" s="204"/>
      <c r="C52" t="s">
        <v>45</v>
      </c>
      <c r="D52" t="s">
        <v>393</v>
      </c>
      <c r="E52" s="10">
        <f>callibration!D88</f>
        <v>684470.80200584314</v>
      </c>
      <c r="G52" t="s">
        <v>397</v>
      </c>
      <c r="J52" s="66"/>
    </row>
    <row r="53" spans="2:10" ht="15" thickBot="1" x14ac:dyDescent="0.45">
      <c r="B53" s="205"/>
      <c r="C53" s="67"/>
      <c r="D53" s="67"/>
      <c r="E53" s="67"/>
      <c r="F53" s="67"/>
      <c r="G53" s="67"/>
      <c r="H53" s="67"/>
      <c r="I53" s="67"/>
      <c r="J53" s="68"/>
    </row>
    <row r="54" spans="2:10" ht="15" thickBot="1" x14ac:dyDescent="0.45">
      <c r="C54" s="73" t="s">
        <v>2</v>
      </c>
      <c r="D54" s="73" t="s">
        <v>1</v>
      </c>
      <c r="E54" s="70" t="s">
        <v>4</v>
      </c>
      <c r="F54" s="70" t="s">
        <v>3</v>
      </c>
      <c r="G54" s="73" t="s">
        <v>34</v>
      </c>
      <c r="H54" s="74" t="s">
        <v>233</v>
      </c>
      <c r="I54" s="73" t="s">
        <v>234</v>
      </c>
      <c r="J54" s="74" t="s">
        <v>5</v>
      </c>
    </row>
    <row r="55" spans="2:10" x14ac:dyDescent="0.4">
      <c r="B55" s="78" t="s">
        <v>401</v>
      </c>
      <c r="C55" s="64" t="s">
        <v>6</v>
      </c>
      <c r="D55" s="64" t="s">
        <v>253</v>
      </c>
      <c r="E55" s="64" t="s">
        <v>403</v>
      </c>
      <c r="F55" s="64" t="s">
        <v>402</v>
      </c>
      <c r="G55" s="64" t="s">
        <v>201</v>
      </c>
      <c r="H55" s="79">
        <f>estimates!C70</f>
        <v>2133111</v>
      </c>
      <c r="I55" s="79">
        <f>estimates!D70</f>
        <v>4719328</v>
      </c>
      <c r="J55" s="65"/>
    </row>
    <row r="56" spans="2:10" x14ac:dyDescent="0.4">
      <c r="B56" s="80"/>
      <c r="C56" t="s">
        <v>6</v>
      </c>
      <c r="D56" t="s">
        <v>410</v>
      </c>
      <c r="F56" t="s">
        <v>402</v>
      </c>
      <c r="G56" t="s">
        <v>413</v>
      </c>
      <c r="H56" s="81">
        <v>1040000</v>
      </c>
      <c r="I56" s="81">
        <v>190000</v>
      </c>
      <c r="J56" s="66"/>
    </row>
    <row r="57" spans="2:10" x14ac:dyDescent="0.4">
      <c r="B57" s="80"/>
      <c r="C57" t="s">
        <v>6</v>
      </c>
      <c r="D57" t="s">
        <v>411</v>
      </c>
      <c r="F57" t="s">
        <v>402</v>
      </c>
      <c r="G57" t="s">
        <v>414</v>
      </c>
      <c r="H57" s="81">
        <v>26000</v>
      </c>
      <c r="I57" s="81">
        <v>125000</v>
      </c>
      <c r="J57" s="66"/>
    </row>
    <row r="58" spans="2:10" x14ac:dyDescent="0.4">
      <c r="B58" s="80"/>
      <c r="C58" t="s">
        <v>7</v>
      </c>
      <c r="D58" t="s">
        <v>406</v>
      </c>
      <c r="E58" t="s">
        <v>404</v>
      </c>
      <c r="G58" t="s">
        <v>405</v>
      </c>
      <c r="J58" s="66"/>
    </row>
    <row r="59" spans="2:10" x14ac:dyDescent="0.4">
      <c r="B59" s="80"/>
      <c r="C59" t="s">
        <v>7</v>
      </c>
      <c r="D59" t="s">
        <v>407</v>
      </c>
      <c r="E59" t="s">
        <v>409</v>
      </c>
      <c r="G59" t="s">
        <v>405</v>
      </c>
      <c r="J59" s="66"/>
    </row>
    <row r="60" spans="2:10" x14ac:dyDescent="0.4">
      <c r="B60" s="80"/>
      <c r="C60" t="s">
        <v>7</v>
      </c>
      <c r="D60" t="s">
        <v>408</v>
      </c>
      <c r="E60" t="s">
        <v>432</v>
      </c>
      <c r="G60" t="s">
        <v>405</v>
      </c>
      <c r="J60" s="66"/>
    </row>
    <row r="61" spans="2:10" x14ac:dyDescent="0.4">
      <c r="B61" s="80"/>
      <c r="C61" t="s">
        <v>7</v>
      </c>
      <c r="D61" t="s">
        <v>412</v>
      </c>
      <c r="E61" t="s">
        <v>433</v>
      </c>
      <c r="G61" t="s">
        <v>405</v>
      </c>
      <c r="J61" s="66"/>
    </row>
    <row r="62" spans="2:10" x14ac:dyDescent="0.4">
      <c r="B62" s="80"/>
      <c r="C62" t="s">
        <v>7</v>
      </c>
      <c r="D62" t="s">
        <v>415</v>
      </c>
      <c r="E62" t="s">
        <v>418</v>
      </c>
      <c r="G62" t="s">
        <v>414</v>
      </c>
      <c r="J62" s="66"/>
    </row>
    <row r="63" spans="2:10" x14ac:dyDescent="0.4">
      <c r="B63" s="80"/>
      <c r="C63" t="s">
        <v>7</v>
      </c>
      <c r="D63" t="s">
        <v>416</v>
      </c>
      <c r="E63" t="s">
        <v>419</v>
      </c>
      <c r="G63" t="s">
        <v>414</v>
      </c>
      <c r="J63" s="66"/>
    </row>
    <row r="64" spans="2:10" x14ac:dyDescent="0.4">
      <c r="B64" s="80"/>
      <c r="C64" t="s">
        <v>7</v>
      </c>
      <c r="D64" t="s">
        <v>417</v>
      </c>
      <c r="E64" t="s">
        <v>420</v>
      </c>
      <c r="G64" t="s">
        <v>414</v>
      </c>
      <c r="J64" s="66"/>
    </row>
    <row r="65" spans="2:10" x14ac:dyDescent="0.4">
      <c r="B65" s="80"/>
      <c r="C65" t="s">
        <v>8</v>
      </c>
      <c r="D65" t="s">
        <v>158</v>
      </c>
      <c r="E65" s="10" t="s">
        <v>428</v>
      </c>
      <c r="G65" t="s">
        <v>158</v>
      </c>
      <c r="H65" s="23"/>
      <c r="I65" s="23"/>
      <c r="J65" s="82"/>
    </row>
    <row r="66" spans="2:10" x14ac:dyDescent="0.4">
      <c r="B66" s="80"/>
      <c r="C66" t="s">
        <v>8</v>
      </c>
      <c r="D66" t="s">
        <v>430</v>
      </c>
      <c r="E66" t="s">
        <v>429</v>
      </c>
      <c r="G66" t="s">
        <v>201</v>
      </c>
      <c r="H66" s="23"/>
      <c r="I66" s="23"/>
      <c r="J66" s="82"/>
    </row>
    <row r="67" spans="2:10" x14ac:dyDescent="0.4">
      <c r="B67" s="80"/>
      <c r="C67" t="s">
        <v>8</v>
      </c>
      <c r="D67" t="s">
        <v>434</v>
      </c>
      <c r="E67" t="s">
        <v>437</v>
      </c>
      <c r="G67" t="s">
        <v>201</v>
      </c>
      <c r="H67" s="23"/>
      <c r="I67" s="23"/>
      <c r="J67" s="82"/>
    </row>
    <row r="68" spans="2:10" x14ac:dyDescent="0.4">
      <c r="B68" s="80"/>
      <c r="C68" t="s">
        <v>8</v>
      </c>
      <c r="D68" t="s">
        <v>436</v>
      </c>
      <c r="E68" t="s">
        <v>439</v>
      </c>
      <c r="G68" t="s">
        <v>228</v>
      </c>
      <c r="H68" s="23"/>
      <c r="I68" s="23"/>
      <c r="J68" s="82"/>
    </row>
    <row r="69" spans="2:10" x14ac:dyDescent="0.4">
      <c r="B69" s="80"/>
      <c r="C69" t="s">
        <v>8</v>
      </c>
      <c r="D69" t="s">
        <v>435</v>
      </c>
      <c r="E69" t="s">
        <v>438</v>
      </c>
      <c r="G69" t="s">
        <v>228</v>
      </c>
      <c r="H69" s="23"/>
      <c r="I69" s="23"/>
      <c r="J69" s="82"/>
    </row>
    <row r="70" spans="2:10" x14ac:dyDescent="0.4">
      <c r="B70" s="80"/>
      <c r="C70" t="s">
        <v>8</v>
      </c>
      <c r="D70" t="s">
        <v>441</v>
      </c>
      <c r="E70" t="s">
        <v>440</v>
      </c>
      <c r="G70" t="s">
        <v>414</v>
      </c>
      <c r="H70" s="23"/>
      <c r="I70" s="23"/>
      <c r="J70" s="82"/>
    </row>
    <row r="71" spans="2:10" x14ac:dyDescent="0.4">
      <c r="B71" s="80"/>
      <c r="C71" t="s">
        <v>8</v>
      </c>
      <c r="D71" t="s">
        <v>444</v>
      </c>
      <c r="E71" t="s">
        <v>442</v>
      </c>
      <c r="G71" t="s">
        <v>53</v>
      </c>
      <c r="H71" s="23"/>
      <c r="I71" s="23"/>
      <c r="J71" s="82"/>
    </row>
    <row r="72" spans="2:10" x14ac:dyDescent="0.4">
      <c r="B72" s="80"/>
      <c r="C72" t="s">
        <v>8</v>
      </c>
      <c r="D72" t="s">
        <v>445</v>
      </c>
      <c r="E72" t="s">
        <v>443</v>
      </c>
      <c r="G72" t="s">
        <v>53</v>
      </c>
      <c r="H72" s="23"/>
      <c r="I72" s="23"/>
      <c r="J72" s="82"/>
    </row>
    <row r="73" spans="2:10" x14ac:dyDescent="0.4">
      <c r="B73" s="80"/>
      <c r="C73" t="s">
        <v>8</v>
      </c>
      <c r="D73" t="s">
        <v>451</v>
      </c>
      <c r="E73" t="s">
        <v>456</v>
      </c>
      <c r="G73" t="s">
        <v>53</v>
      </c>
      <c r="H73" s="23"/>
      <c r="I73" s="23"/>
      <c r="J73" s="82"/>
    </row>
    <row r="74" spans="2:10" x14ac:dyDescent="0.4">
      <c r="B74" s="80"/>
      <c r="C74" t="s">
        <v>8</v>
      </c>
      <c r="D74" t="s">
        <v>452</v>
      </c>
      <c r="E74" t="s">
        <v>457</v>
      </c>
      <c r="G74" t="s">
        <v>462</v>
      </c>
      <c r="H74" s="23"/>
      <c r="I74" s="23"/>
      <c r="J74" s="82"/>
    </row>
    <row r="75" spans="2:10" x14ac:dyDescent="0.4">
      <c r="B75" s="80"/>
      <c r="C75" t="s">
        <v>8</v>
      </c>
      <c r="D75" t="s">
        <v>454</v>
      </c>
      <c r="E75" t="s">
        <v>458</v>
      </c>
      <c r="G75" t="s">
        <v>53</v>
      </c>
      <c r="H75" s="23"/>
      <c r="I75" s="23"/>
      <c r="J75" s="82"/>
    </row>
    <row r="76" spans="2:10" x14ac:dyDescent="0.4">
      <c r="B76" s="80"/>
      <c r="C76" t="s">
        <v>8</v>
      </c>
      <c r="D76" t="s">
        <v>455</v>
      </c>
      <c r="E76" t="s">
        <v>460</v>
      </c>
      <c r="G76" t="s">
        <v>461</v>
      </c>
      <c r="H76" s="23"/>
      <c r="I76" s="23"/>
      <c r="J76" s="82"/>
    </row>
    <row r="77" spans="2:10" x14ac:dyDescent="0.4">
      <c r="B77" s="80"/>
      <c r="C77" t="s">
        <v>8</v>
      </c>
      <c r="D77" t="s">
        <v>431</v>
      </c>
      <c r="J77" s="66"/>
    </row>
    <row r="78" spans="2:10" x14ac:dyDescent="0.4">
      <c r="B78" s="80"/>
      <c r="C78" t="s">
        <v>45</v>
      </c>
      <c r="D78" t="s">
        <v>421</v>
      </c>
      <c r="E78" t="s">
        <v>402</v>
      </c>
      <c r="G78" t="s">
        <v>228</v>
      </c>
      <c r="H78" s="16">
        <f>estimates!C72</f>
        <v>1.26E-2</v>
      </c>
      <c r="I78" s="16">
        <f>estimates!D72</f>
        <v>1.5587491714922127E-2</v>
      </c>
      <c r="J78" s="66"/>
    </row>
    <row r="79" spans="2:10" x14ac:dyDescent="0.4">
      <c r="B79" s="80"/>
      <c r="C79" t="s">
        <v>45</v>
      </c>
      <c r="D79" t="s">
        <v>423</v>
      </c>
      <c r="E79" t="s">
        <v>402</v>
      </c>
      <c r="G79" t="s">
        <v>31</v>
      </c>
      <c r="H79">
        <f>100*estimates!C124</f>
        <v>21100</v>
      </c>
      <c r="I79">
        <f>estimates!C128*100</f>
        <v>65400</v>
      </c>
      <c r="J79" s="66"/>
    </row>
    <row r="80" spans="2:10" x14ac:dyDescent="0.4">
      <c r="B80" s="80"/>
      <c r="C80" t="s">
        <v>45</v>
      </c>
      <c r="D80" t="s">
        <v>425</v>
      </c>
      <c r="E80" t="s">
        <v>402</v>
      </c>
      <c r="G80" t="s">
        <v>53</v>
      </c>
      <c r="H80" s="49">
        <f>estimates!C79</f>
        <v>2.4294563199008398E-2</v>
      </c>
      <c r="I80" s="49">
        <f>estimates!D79</f>
        <v>1.8165721899389066E-2</v>
      </c>
      <c r="J80" s="66"/>
    </row>
    <row r="81" spans="2:10" x14ac:dyDescent="0.4">
      <c r="B81" s="80"/>
      <c r="C81" t="s">
        <v>45</v>
      </c>
      <c r="D81" t="s">
        <v>427</v>
      </c>
      <c r="E81" t="s">
        <v>402</v>
      </c>
      <c r="G81" t="s">
        <v>53</v>
      </c>
      <c r="H81" s="23">
        <f>old!O22</f>
        <v>0.50298009565555546</v>
      </c>
      <c r="I81" s="23">
        <f>old!O23</f>
        <v>0.43822966438597838</v>
      </c>
      <c r="J81" s="82"/>
    </row>
    <row r="82" spans="2:10" x14ac:dyDescent="0.4">
      <c r="B82" s="80"/>
      <c r="C82" t="s">
        <v>45</v>
      </c>
      <c r="D82" t="s">
        <v>426</v>
      </c>
      <c r="E82" t="s">
        <v>402</v>
      </c>
      <c r="G82" t="s">
        <v>225</v>
      </c>
      <c r="H82" s="16">
        <f>old!M24</f>
        <v>1.7352672886366876</v>
      </c>
      <c r="I82" s="16">
        <f>old!M25</f>
        <v>1.0128033138336567</v>
      </c>
      <c r="J82" s="66"/>
    </row>
    <row r="83" spans="2:10" x14ac:dyDescent="0.4">
      <c r="B83" s="80"/>
      <c r="C83" t="s">
        <v>45</v>
      </c>
      <c r="D83" t="s">
        <v>448</v>
      </c>
      <c r="E83" t="s">
        <v>402</v>
      </c>
      <c r="G83" t="s">
        <v>228</v>
      </c>
      <c r="H83" s="16"/>
      <c r="I83" s="16"/>
      <c r="J83" s="66"/>
    </row>
    <row r="84" spans="2:10" x14ac:dyDescent="0.4">
      <c r="B84" s="80"/>
      <c r="C84" t="s">
        <v>45</v>
      </c>
      <c r="D84" t="s">
        <v>425</v>
      </c>
      <c r="E84" t="s">
        <v>402</v>
      </c>
      <c r="G84" t="s">
        <v>228</v>
      </c>
      <c r="H84" s="16"/>
      <c r="I84" s="16"/>
      <c r="J84" s="66"/>
    </row>
    <row r="85" spans="2:10" x14ac:dyDescent="0.4">
      <c r="B85" s="80"/>
      <c r="C85" t="s">
        <v>45</v>
      </c>
      <c r="D85" t="s">
        <v>459</v>
      </c>
      <c r="E85" t="s">
        <v>402</v>
      </c>
      <c r="G85" t="s">
        <v>461</v>
      </c>
      <c r="H85" s="16"/>
      <c r="I85" s="16"/>
      <c r="J85" s="66"/>
    </row>
    <row r="86" spans="2:10" x14ac:dyDescent="0.4">
      <c r="B86" s="80"/>
      <c r="C86" t="s">
        <v>45</v>
      </c>
      <c r="D86" t="s">
        <v>463</v>
      </c>
      <c r="E86" t="s">
        <v>402</v>
      </c>
      <c r="G86" t="s">
        <v>464</v>
      </c>
      <c r="H86" s="16"/>
      <c r="I86" s="16"/>
      <c r="J86" s="66"/>
    </row>
    <row r="87" spans="2:10" x14ac:dyDescent="0.4">
      <c r="B87" s="80"/>
      <c r="C87" t="s">
        <v>45</v>
      </c>
      <c r="D87" t="s">
        <v>423</v>
      </c>
      <c r="G87" t="s">
        <v>31</v>
      </c>
      <c r="H87" s="16"/>
      <c r="I87" s="16"/>
      <c r="J87" s="66"/>
    </row>
    <row r="88" spans="2:10" x14ac:dyDescent="0.4">
      <c r="B88" s="80"/>
      <c r="C88" t="s">
        <v>45</v>
      </c>
      <c r="D88" t="s">
        <v>483</v>
      </c>
      <c r="E88" t="s">
        <v>402</v>
      </c>
      <c r="G88" t="s">
        <v>201</v>
      </c>
      <c r="H88" s="10">
        <f>estimates!C97*estimates!C95*estimates!C70</f>
        <v>523323.23199999996</v>
      </c>
      <c r="I88" s="10">
        <f>estimates!D97*estimates!D95*estimates!D70</f>
        <v>1213134.6946666669</v>
      </c>
      <c r="J88" s="66"/>
    </row>
    <row r="89" spans="2:10" x14ac:dyDescent="0.4">
      <c r="B89" s="80"/>
      <c r="C89" t="s">
        <v>45</v>
      </c>
      <c r="D89" t="s">
        <v>552</v>
      </c>
      <c r="E89" t="s">
        <v>402</v>
      </c>
      <c r="G89" t="s">
        <v>201</v>
      </c>
      <c r="H89" s="10">
        <f>H88/$E$107+H80*estimates!C70</f>
        <v>77989.161599999992</v>
      </c>
      <c r="I89" s="10">
        <f>I88/$E$107+I80*estimates!D70</f>
        <v>146386.73473333335</v>
      </c>
      <c r="J89" s="66"/>
    </row>
    <row r="90" spans="2:10" x14ac:dyDescent="0.4">
      <c r="B90" s="80"/>
      <c r="C90" t="s">
        <v>45</v>
      </c>
      <c r="D90" t="s">
        <v>551</v>
      </c>
      <c r="E90" t="s">
        <v>402</v>
      </c>
      <c r="G90" t="s">
        <v>201</v>
      </c>
      <c r="H90" s="41">
        <f>estimates!C70-SUM(model!H88:H89)</f>
        <v>1531798.6063999999</v>
      </c>
      <c r="I90" s="41">
        <f>estimates!D70-SUM(model!I88:I89)</f>
        <v>3359806.5705999997</v>
      </c>
      <c r="J90" s="66"/>
    </row>
    <row r="91" spans="2:10" x14ac:dyDescent="0.4">
      <c r="B91" s="80"/>
      <c r="C91" t="s">
        <v>45</v>
      </c>
      <c r="D91" t="s">
        <v>484</v>
      </c>
      <c r="E91" t="s">
        <v>402</v>
      </c>
      <c r="G91" t="s">
        <v>485</v>
      </c>
      <c r="H91" s="17" t="str">
        <f>estimates!C107</f>
        <v>Grand Paris</v>
      </c>
      <c r="I91" s="17">
        <f>estimates!D107</f>
        <v>0</v>
      </c>
      <c r="J91" s="66"/>
    </row>
    <row r="92" spans="2:10" x14ac:dyDescent="0.4">
      <c r="B92" s="80"/>
      <c r="C92" t="s">
        <v>45</v>
      </c>
      <c r="D92" t="s">
        <v>488</v>
      </c>
      <c r="E92" t="s">
        <v>402</v>
      </c>
      <c r="G92" t="s">
        <v>201</v>
      </c>
      <c r="H92" s="23">
        <f>estimates!C99</f>
        <v>0.32500000000000001</v>
      </c>
      <c r="I92" s="23">
        <f>estimates!D99</f>
        <v>0.63459259163458681</v>
      </c>
      <c r="J92" s="66"/>
    </row>
    <row r="93" spans="2:10" x14ac:dyDescent="0.4">
      <c r="B93" s="80"/>
      <c r="C93" t="s">
        <v>45</v>
      </c>
      <c r="D93" t="s">
        <v>487</v>
      </c>
      <c r="E93" t="s">
        <v>402</v>
      </c>
      <c r="G93" t="s">
        <v>486</v>
      </c>
      <c r="H93" s="10">
        <f>estimates!C71</f>
        <v>1128286</v>
      </c>
      <c r="I93" s="10">
        <f>estimates!D71</f>
        <v>2010349</v>
      </c>
      <c r="J93" s="66"/>
    </row>
    <row r="94" spans="2:10" x14ac:dyDescent="0.4">
      <c r="B94" s="80"/>
      <c r="H94" s="10"/>
      <c r="I94" s="10"/>
      <c r="J94" s="66"/>
    </row>
    <row r="95" spans="2:10" ht="15" thickBot="1" x14ac:dyDescent="0.45">
      <c r="B95" s="80"/>
      <c r="H95" s="16"/>
      <c r="I95" s="16"/>
      <c r="J95" s="66"/>
    </row>
    <row r="96" spans="2:10" x14ac:dyDescent="0.4">
      <c r="B96" s="80"/>
      <c r="C96" s="70" t="s">
        <v>2</v>
      </c>
      <c r="D96" s="70" t="s">
        <v>1</v>
      </c>
      <c r="E96" s="70" t="s">
        <v>4</v>
      </c>
      <c r="F96" s="70" t="s">
        <v>3</v>
      </c>
      <c r="G96" s="70" t="s">
        <v>34</v>
      </c>
      <c r="H96" s="207" t="s">
        <v>5</v>
      </c>
      <c r="I96" s="207"/>
      <c r="J96" s="208"/>
    </row>
    <row r="97" spans="2:19" x14ac:dyDescent="0.4">
      <c r="B97" s="80" t="s">
        <v>253</v>
      </c>
      <c r="C97" t="s">
        <v>8</v>
      </c>
      <c r="D97" t="s">
        <v>212</v>
      </c>
      <c r="E97" t="s">
        <v>422</v>
      </c>
      <c r="G97" t="s">
        <v>214</v>
      </c>
      <c r="J97" s="66"/>
    </row>
    <row r="98" spans="2:19" x14ac:dyDescent="0.4">
      <c r="B98" s="80"/>
      <c r="C98" t="s">
        <v>8</v>
      </c>
      <c r="D98" t="s">
        <v>431</v>
      </c>
      <c r="H98" s="23"/>
      <c r="I98" s="23"/>
      <c r="J98" s="82"/>
    </row>
    <row r="99" spans="2:19" x14ac:dyDescent="0.4">
      <c r="B99" s="80"/>
      <c r="C99" t="s">
        <v>45</v>
      </c>
      <c r="D99" t="s">
        <v>424</v>
      </c>
      <c r="E99" s="23">
        <f>(model!E146*estimates!C70+model!E147*estimates!D70)/(estimates!C70+estimates!D70)</f>
        <v>0</v>
      </c>
      <c r="G99" t="s">
        <v>214</v>
      </c>
      <c r="J99" s="66"/>
    </row>
    <row r="100" spans="2:19" x14ac:dyDescent="0.4">
      <c r="B100" s="80"/>
      <c r="C100" t="s">
        <v>45</v>
      </c>
      <c r="D100" t="s">
        <v>227</v>
      </c>
      <c r="E100" s="16">
        <f>estimates!C73</f>
        <v>6.6E-3</v>
      </c>
      <c r="G100" t="s">
        <v>228</v>
      </c>
      <c r="J100" s="66"/>
      <c r="S100" s="16"/>
    </row>
    <row r="101" spans="2:19" x14ac:dyDescent="0.4">
      <c r="B101" s="80"/>
      <c r="C101" t="s">
        <v>45</v>
      </c>
      <c r="D101" t="s">
        <v>213</v>
      </c>
      <c r="E101">
        <v>100000</v>
      </c>
      <c r="G101" t="s">
        <v>387</v>
      </c>
      <c r="J101" s="66"/>
    </row>
    <row r="102" spans="2:19" x14ac:dyDescent="0.4">
      <c r="B102" s="80"/>
      <c r="C102" t="s">
        <v>45</v>
      </c>
      <c r="D102" t="s">
        <v>446</v>
      </c>
      <c r="H102" s="16"/>
      <c r="I102" s="16"/>
      <c r="J102" s="66"/>
    </row>
    <row r="103" spans="2:19" x14ac:dyDescent="0.4">
      <c r="B103" s="80"/>
      <c r="C103" t="s">
        <v>45</v>
      </c>
      <c r="D103" t="s">
        <v>449</v>
      </c>
      <c r="H103" s="16"/>
      <c r="I103" s="16"/>
      <c r="J103" s="66"/>
    </row>
    <row r="104" spans="2:19" x14ac:dyDescent="0.4">
      <c r="B104" s="80"/>
      <c r="C104" t="s">
        <v>45</v>
      </c>
      <c r="D104" t="s">
        <v>453</v>
      </c>
      <c r="H104" s="16"/>
      <c r="I104" s="16"/>
      <c r="J104" s="66"/>
    </row>
    <row r="105" spans="2:19" x14ac:dyDescent="0.4">
      <c r="B105" s="80"/>
      <c r="C105" t="s">
        <v>45</v>
      </c>
      <c r="D105" t="s">
        <v>447</v>
      </c>
      <c r="H105" s="16"/>
      <c r="I105" s="16"/>
      <c r="J105" s="66"/>
    </row>
    <row r="106" spans="2:19" x14ac:dyDescent="0.4">
      <c r="B106" s="80"/>
      <c r="C106" t="s">
        <v>45</v>
      </c>
      <c r="D106" t="s">
        <v>465</v>
      </c>
      <c r="H106" s="16"/>
      <c r="I106" s="16"/>
      <c r="J106" s="66"/>
    </row>
    <row r="107" spans="2:19" x14ac:dyDescent="0.4">
      <c r="B107" s="80"/>
      <c r="C107" t="s">
        <v>45</v>
      </c>
      <c r="D107" t="s">
        <v>553</v>
      </c>
      <c r="E107">
        <v>20</v>
      </c>
      <c r="G107" t="s">
        <v>48</v>
      </c>
      <c r="J107" s="66"/>
    </row>
    <row r="108" spans="2:19" x14ac:dyDescent="0.4">
      <c r="B108" s="80"/>
      <c r="C108" t="s">
        <v>215</v>
      </c>
      <c r="D108" t="s">
        <v>466</v>
      </c>
      <c r="H108" s="16"/>
      <c r="I108" s="16"/>
      <c r="J108" s="66"/>
    </row>
    <row r="109" spans="2:19" x14ac:dyDescent="0.4">
      <c r="B109" s="80"/>
      <c r="C109" t="s">
        <v>215</v>
      </c>
      <c r="D109" t="s">
        <v>450</v>
      </c>
      <c r="H109" s="16"/>
      <c r="I109" s="16"/>
      <c r="J109" s="66"/>
    </row>
    <row r="110" spans="2:19" ht="15" thickBot="1" x14ac:dyDescent="0.45">
      <c r="B110" s="83"/>
      <c r="C110" s="67"/>
      <c r="D110" s="67"/>
      <c r="E110" s="67"/>
      <c r="F110" s="67"/>
      <c r="G110" s="67"/>
      <c r="H110" s="67"/>
      <c r="I110" s="67"/>
      <c r="J110" s="68"/>
    </row>
    <row r="111" spans="2:19" x14ac:dyDescent="0.4">
      <c r="B111" t="s">
        <v>321</v>
      </c>
    </row>
    <row r="113" spans="1:24" x14ac:dyDescent="0.4">
      <c r="E113" s="23"/>
    </row>
    <row r="114" spans="1:24" x14ac:dyDescent="0.4">
      <c r="E114" s="49"/>
    </row>
    <row r="115" spans="1:24" x14ac:dyDescent="0.4">
      <c r="E115" s="23"/>
    </row>
    <row r="116" spans="1:24" x14ac:dyDescent="0.4">
      <c r="C116" t="s">
        <v>215</v>
      </c>
      <c r="D116" t="s">
        <v>325</v>
      </c>
      <c r="E116" s="23"/>
    </row>
    <row r="117" spans="1:24" x14ac:dyDescent="0.4">
      <c r="C117" t="s">
        <v>8</v>
      </c>
      <c r="D117" t="s">
        <v>323</v>
      </c>
      <c r="E117" s="16" t="s">
        <v>324</v>
      </c>
      <c r="G117" t="s">
        <v>53</v>
      </c>
    </row>
    <row r="118" spans="1:24" x14ac:dyDescent="0.4">
      <c r="C118" t="s">
        <v>45</v>
      </c>
      <c r="D118" t="s">
        <v>322</v>
      </c>
      <c r="E118" s="16">
        <f>H82/I82</f>
        <v>1.7133309744696279</v>
      </c>
      <c r="G118" t="s">
        <v>53</v>
      </c>
    </row>
    <row r="119" spans="1:24" x14ac:dyDescent="0.4">
      <c r="C119" t="s">
        <v>45</v>
      </c>
      <c r="D119" t="s">
        <v>329</v>
      </c>
      <c r="E119" s="16">
        <f>estimates!D161</f>
        <v>0.63568372446246579</v>
      </c>
      <c r="G119" t="s">
        <v>70</v>
      </c>
    </row>
    <row r="120" spans="1:24" x14ac:dyDescent="0.4">
      <c r="A120" t="s">
        <v>279</v>
      </c>
      <c r="C120" t="s">
        <v>45</v>
      </c>
      <c r="D120" t="s">
        <v>328</v>
      </c>
      <c r="E120" s="9">
        <v>1</v>
      </c>
      <c r="G120" t="s">
        <v>53</v>
      </c>
    </row>
    <row r="122" spans="1:24" x14ac:dyDescent="0.4">
      <c r="M122" s="3"/>
      <c r="O122" s="3"/>
      <c r="Q122" s="3"/>
    </row>
    <row r="123" spans="1:24" x14ac:dyDescent="0.4">
      <c r="M123" t="s">
        <v>233</v>
      </c>
      <c r="N123" t="s">
        <v>234</v>
      </c>
      <c r="O123" t="s">
        <v>302</v>
      </c>
      <c r="S123" t="s">
        <v>236</v>
      </c>
      <c r="W123" t="s">
        <v>237</v>
      </c>
    </row>
    <row r="124" spans="1:24" x14ac:dyDescent="0.4">
      <c r="K124" t="s">
        <v>304</v>
      </c>
      <c r="L124" t="s">
        <v>299</v>
      </c>
      <c r="M124" s="49">
        <v>2.4294563199008398E-2</v>
      </c>
      <c r="N124" s="49">
        <v>1.8165721899389066E-2</v>
      </c>
      <c r="S124" t="s">
        <v>232</v>
      </c>
      <c r="U124" t="s">
        <v>235</v>
      </c>
      <c r="W124" t="s">
        <v>235</v>
      </c>
    </row>
    <row r="125" spans="1:24" x14ac:dyDescent="0.4">
      <c r="E125">
        <f>1/E118</f>
        <v>0.58365839111124229</v>
      </c>
      <c r="L125" t="s">
        <v>300</v>
      </c>
      <c r="M125" s="49">
        <v>3.3897907797578279E-2</v>
      </c>
      <c r="N125" s="49">
        <v>2.342854745421382E-2</v>
      </c>
      <c r="S125">
        <v>0</v>
      </c>
      <c r="T125">
        <v>3</v>
      </c>
      <c r="U125">
        <v>0</v>
      </c>
      <c r="V125">
        <v>1</v>
      </c>
      <c r="W125">
        <v>0</v>
      </c>
      <c r="X125">
        <v>1</v>
      </c>
    </row>
    <row r="126" spans="1:24" x14ac:dyDescent="0.4">
      <c r="L126" t="s">
        <v>303</v>
      </c>
      <c r="M126" s="23">
        <v>7.1023026931087978</v>
      </c>
      <c r="N126" s="23"/>
      <c r="S126">
        <v>0.5</v>
      </c>
      <c r="T126">
        <v>3</v>
      </c>
      <c r="U126">
        <v>0.5</v>
      </c>
      <c r="V126">
        <v>1</v>
      </c>
      <c r="W126">
        <f t="shared" ref="W126:W133" si="0">W125+0.0625</f>
        <v>6.25E-2</v>
      </c>
      <c r="X126">
        <v>0.97499999999999998</v>
      </c>
    </row>
    <row r="127" spans="1:24" x14ac:dyDescent="0.4">
      <c r="K127" t="s">
        <v>305</v>
      </c>
      <c r="L127" t="s">
        <v>235</v>
      </c>
      <c r="M127" s="23">
        <v>1</v>
      </c>
      <c r="N127" s="23">
        <v>1</v>
      </c>
      <c r="S127">
        <f t="shared" ref="S127:S134" si="1">S126+0.0625</f>
        <v>0.5625</v>
      </c>
      <c r="T127">
        <v>2.95</v>
      </c>
      <c r="U127">
        <v>0.625</v>
      </c>
      <c r="V127" s="23">
        <v>1.01</v>
      </c>
      <c r="W127">
        <f t="shared" si="0"/>
        <v>0.125</v>
      </c>
      <c r="X127">
        <v>0.9</v>
      </c>
    </row>
    <row r="128" spans="1:24" x14ac:dyDescent="0.4">
      <c r="L128" t="s">
        <v>232</v>
      </c>
      <c r="M128" s="23">
        <v>1</v>
      </c>
      <c r="N128" s="23">
        <v>1</v>
      </c>
      <c r="S128">
        <f t="shared" si="1"/>
        <v>0.625</v>
      </c>
      <c r="T128">
        <v>2.7</v>
      </c>
      <c r="U128">
        <v>0.75</v>
      </c>
      <c r="V128" s="23">
        <v>1.07</v>
      </c>
      <c r="W128">
        <f t="shared" si="0"/>
        <v>0.1875</v>
      </c>
      <c r="X128">
        <v>0.75</v>
      </c>
    </row>
    <row r="129" spans="1:24" x14ac:dyDescent="0.4">
      <c r="B129" t="s">
        <v>62</v>
      </c>
      <c r="L129" t="s">
        <v>303</v>
      </c>
      <c r="M129" s="23">
        <v>1</v>
      </c>
      <c r="N129" s="23">
        <v>1</v>
      </c>
      <c r="S129">
        <f t="shared" si="1"/>
        <v>0.6875</v>
      </c>
      <c r="T129">
        <v>2.4</v>
      </c>
      <c r="U129">
        <v>0.875</v>
      </c>
      <c r="V129" s="23">
        <v>1.3</v>
      </c>
      <c r="W129">
        <f t="shared" si="0"/>
        <v>0.25</v>
      </c>
      <c r="X129" s="23">
        <v>0.5</v>
      </c>
    </row>
    <row r="130" spans="1:24" x14ac:dyDescent="0.4">
      <c r="C130" t="s">
        <v>8</v>
      </c>
      <c r="D130" t="s">
        <v>65</v>
      </c>
      <c r="G130" t="s">
        <v>67</v>
      </c>
      <c r="S130">
        <f t="shared" si="1"/>
        <v>0.75</v>
      </c>
      <c r="T130">
        <v>2</v>
      </c>
      <c r="U130">
        <v>1</v>
      </c>
      <c r="V130" s="23">
        <v>1.75</v>
      </c>
      <c r="W130">
        <f t="shared" si="0"/>
        <v>0.3125</v>
      </c>
      <c r="X130" s="23">
        <v>0.25</v>
      </c>
    </row>
    <row r="131" spans="1:24" x14ac:dyDescent="0.4">
      <c r="C131" t="s">
        <v>8</v>
      </c>
      <c r="D131" t="s">
        <v>64</v>
      </c>
      <c r="G131" t="s">
        <v>67</v>
      </c>
      <c r="S131">
        <f t="shared" si="1"/>
        <v>0.8125</v>
      </c>
      <c r="T131">
        <v>1.6</v>
      </c>
      <c r="U131">
        <v>1.125</v>
      </c>
      <c r="V131" s="23">
        <v>2.2000000000000002</v>
      </c>
      <c r="W131">
        <f t="shared" si="0"/>
        <v>0.375</v>
      </c>
      <c r="X131">
        <v>0.1</v>
      </c>
    </row>
    <row r="132" spans="1:24" x14ac:dyDescent="0.4">
      <c r="C132" t="s">
        <v>8</v>
      </c>
      <c r="D132" t="s">
        <v>66</v>
      </c>
      <c r="E132">
        <v>110</v>
      </c>
      <c r="G132" t="s">
        <v>68</v>
      </c>
      <c r="S132">
        <f t="shared" si="1"/>
        <v>0.875</v>
      </c>
      <c r="T132">
        <v>1.3</v>
      </c>
      <c r="U132">
        <v>1.25</v>
      </c>
      <c r="V132" s="23">
        <f>2.43</f>
        <v>2.4300000000000002</v>
      </c>
      <c r="W132">
        <f t="shared" si="0"/>
        <v>0.4375</v>
      </c>
      <c r="X132">
        <v>2.5000000000000001E-2</v>
      </c>
    </row>
    <row r="133" spans="1:24" x14ac:dyDescent="0.4">
      <c r="C133" t="s">
        <v>8</v>
      </c>
      <c r="D133" t="s">
        <v>63</v>
      </c>
      <c r="E133">
        <v>290</v>
      </c>
      <c r="G133" t="s">
        <v>68</v>
      </c>
      <c r="S133">
        <f t="shared" si="1"/>
        <v>0.9375</v>
      </c>
      <c r="T133">
        <v>1.05</v>
      </c>
      <c r="U133">
        <v>1.375</v>
      </c>
      <c r="V133" s="23">
        <f>V132+0.06</f>
        <v>2.4900000000000002</v>
      </c>
      <c r="W133">
        <f t="shared" si="0"/>
        <v>0.5</v>
      </c>
      <c r="X133">
        <v>0</v>
      </c>
    </row>
    <row r="134" spans="1:24" x14ac:dyDescent="0.4">
      <c r="G134">
        <v>2</v>
      </c>
      <c r="L134" s="3"/>
      <c r="M134" t="s">
        <v>236</v>
      </c>
      <c r="Q134" t="s">
        <v>237</v>
      </c>
      <c r="S134">
        <f t="shared" si="1"/>
        <v>1</v>
      </c>
      <c r="T134">
        <v>1</v>
      </c>
      <c r="U134">
        <v>1.5</v>
      </c>
      <c r="V134" s="23">
        <f>V133+0.01</f>
        <v>2.5</v>
      </c>
      <c r="W134">
        <v>2</v>
      </c>
      <c r="X134">
        <v>0</v>
      </c>
    </row>
    <row r="135" spans="1:24" x14ac:dyDescent="0.4">
      <c r="B135" t="s">
        <v>84</v>
      </c>
      <c r="M135" t="s">
        <v>232</v>
      </c>
      <c r="O135" t="s">
        <v>235</v>
      </c>
      <c r="Q135" t="s">
        <v>235</v>
      </c>
      <c r="S135">
        <v>2</v>
      </c>
      <c r="T135">
        <v>1</v>
      </c>
      <c r="U135">
        <v>2</v>
      </c>
      <c r="V135" s="23">
        <v>2.5</v>
      </c>
    </row>
    <row r="136" spans="1:24" x14ac:dyDescent="0.4">
      <c r="A136" t="s">
        <v>60</v>
      </c>
      <c r="C136" t="s">
        <v>45</v>
      </c>
      <c r="D136" t="s">
        <v>55</v>
      </c>
      <c r="E136">
        <v>310000</v>
      </c>
      <c r="G136" t="s">
        <v>70</v>
      </c>
      <c r="M136">
        <v>0</v>
      </c>
      <c r="O136">
        <v>0</v>
      </c>
      <c r="Q136">
        <v>0</v>
      </c>
    </row>
    <row r="137" spans="1:24" x14ac:dyDescent="0.4">
      <c r="A137" t="s">
        <v>60</v>
      </c>
      <c r="C137" t="s">
        <v>45</v>
      </c>
      <c r="D137" t="s">
        <v>56</v>
      </c>
      <c r="E137">
        <v>590000</v>
      </c>
      <c r="G137" t="s">
        <v>70</v>
      </c>
      <c r="M137">
        <v>0.5</v>
      </c>
      <c r="O137">
        <v>0.5</v>
      </c>
      <c r="Q137">
        <f t="shared" ref="Q137:Q144" si="2">Q136+0.0625</f>
        <v>6.25E-2</v>
      </c>
    </row>
    <row r="138" spans="1:24" x14ac:dyDescent="0.4">
      <c r="C138" t="s">
        <v>45</v>
      </c>
      <c r="D138" t="s">
        <v>57</v>
      </c>
      <c r="E138" t="e">
        <f>estimates!#REF!</f>
        <v>#REF!</v>
      </c>
      <c r="G138" t="s">
        <v>71</v>
      </c>
      <c r="M138">
        <f t="shared" ref="M138:M145" si="3">M137+0.0625</f>
        <v>0.5625</v>
      </c>
      <c r="O138">
        <v>0.625</v>
      </c>
      <c r="P138" s="23"/>
      <c r="Q138">
        <f t="shared" si="2"/>
        <v>0.125</v>
      </c>
    </row>
    <row r="139" spans="1:24" x14ac:dyDescent="0.4">
      <c r="C139" t="s">
        <v>45</v>
      </c>
      <c r="D139" t="s">
        <v>58</v>
      </c>
      <c r="E139" t="e">
        <f>estimates!#REF!</f>
        <v>#REF!</v>
      </c>
      <c r="G139" t="s">
        <v>71</v>
      </c>
      <c r="M139">
        <f t="shared" si="3"/>
        <v>0.625</v>
      </c>
      <c r="O139">
        <v>0.75</v>
      </c>
      <c r="P139" s="23"/>
      <c r="Q139">
        <f t="shared" si="2"/>
        <v>0.1875</v>
      </c>
    </row>
    <row r="140" spans="1:24" x14ac:dyDescent="0.4">
      <c r="M140">
        <f t="shared" si="3"/>
        <v>0.6875</v>
      </c>
      <c r="O140">
        <v>0.875</v>
      </c>
      <c r="P140" s="23"/>
      <c r="Q140">
        <f t="shared" si="2"/>
        <v>0.25</v>
      </c>
      <c r="R140" s="23"/>
    </row>
    <row r="141" spans="1:24" x14ac:dyDescent="0.4">
      <c r="K141" s="23"/>
      <c r="M141" s="8">
        <f t="shared" si="3"/>
        <v>0.75</v>
      </c>
      <c r="N141" s="8">
        <v>1.27</v>
      </c>
      <c r="O141">
        <v>1</v>
      </c>
      <c r="P141" s="23"/>
      <c r="Q141">
        <f t="shared" si="2"/>
        <v>0.3125</v>
      </c>
      <c r="R141" s="23"/>
    </row>
    <row r="142" spans="1:24" x14ac:dyDescent="0.4">
      <c r="E142" s="10"/>
      <c r="K142" s="23"/>
      <c r="M142">
        <f t="shared" si="3"/>
        <v>0.8125</v>
      </c>
      <c r="O142" s="8">
        <v>1.125</v>
      </c>
      <c r="P142" s="23" t="s">
        <v>279</v>
      </c>
      <c r="Q142">
        <f t="shared" si="2"/>
        <v>0.375</v>
      </c>
    </row>
    <row r="143" spans="1:24" x14ac:dyDescent="0.4">
      <c r="K143" s="23"/>
      <c r="M143">
        <f t="shared" si="3"/>
        <v>0.875</v>
      </c>
      <c r="O143">
        <v>1.25</v>
      </c>
      <c r="P143" s="23"/>
      <c r="Q143">
        <f t="shared" si="2"/>
        <v>0.4375</v>
      </c>
    </row>
    <row r="144" spans="1:24" x14ac:dyDescent="0.4">
      <c r="E144" s="23"/>
      <c r="K144" s="23"/>
      <c r="M144">
        <f t="shared" si="3"/>
        <v>0.9375</v>
      </c>
      <c r="O144">
        <v>1.375</v>
      </c>
      <c r="P144" s="23"/>
      <c r="Q144">
        <f t="shared" si="2"/>
        <v>0.5</v>
      </c>
    </row>
    <row r="145" spans="5:19" x14ac:dyDescent="0.4">
      <c r="E145" s="49"/>
      <c r="K145" s="23"/>
      <c r="M145">
        <f t="shared" si="3"/>
        <v>1</v>
      </c>
      <c r="O145">
        <v>1.5</v>
      </c>
      <c r="P145" s="23"/>
      <c r="Q145">
        <v>2</v>
      </c>
    </row>
    <row r="146" spans="5:19" x14ac:dyDescent="0.4">
      <c r="E146" s="23"/>
      <c r="K146" s="23"/>
      <c r="M146">
        <v>2</v>
      </c>
      <c r="O146">
        <v>2</v>
      </c>
      <c r="P146" s="23"/>
    </row>
    <row r="147" spans="5:19" x14ac:dyDescent="0.4">
      <c r="E147" s="23"/>
    </row>
    <row r="148" spans="5:19" x14ac:dyDescent="0.4">
      <c r="E148" s="16"/>
    </row>
    <row r="149" spans="5:19" x14ac:dyDescent="0.4">
      <c r="E149" s="16"/>
    </row>
    <row r="150" spans="5:19" x14ac:dyDescent="0.4">
      <c r="E150" s="51"/>
    </row>
    <row r="151" spans="5:19" x14ac:dyDescent="0.4">
      <c r="E151" s="51"/>
    </row>
    <row r="155" spans="5:19" x14ac:dyDescent="0.4">
      <c r="S155" s="16"/>
    </row>
  </sheetData>
  <mergeCells count="4">
    <mergeCell ref="B5:B32"/>
    <mergeCell ref="B33:B53"/>
    <mergeCell ref="H4:J4"/>
    <mergeCell ref="H96:J9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92C83-D500-4F45-B362-808BD95A52E1}">
  <sheetPr codeName="Sheet3"/>
  <dimension ref="A2:O92"/>
  <sheetViews>
    <sheetView tabSelected="1" topLeftCell="A3" zoomScale="85" zoomScaleNormal="85" workbookViewId="0">
      <selection activeCell="H16" sqref="H16"/>
    </sheetView>
  </sheetViews>
  <sheetFormatPr defaultRowHeight="14.6" x14ac:dyDescent="0.4"/>
  <cols>
    <col min="1" max="1" width="4.07421875" customWidth="1"/>
    <col min="2" max="2" width="21.23046875" customWidth="1"/>
    <col min="3" max="3" width="15.69140625" customWidth="1"/>
    <col min="4" max="4" width="23.3046875" customWidth="1"/>
    <col min="5" max="5" width="48.765625" customWidth="1"/>
    <col min="6" max="6" width="9.69140625" customWidth="1"/>
    <col min="7" max="7" width="9.15234375" customWidth="1"/>
    <col min="8" max="8" width="8.3046875" customWidth="1"/>
    <col min="9" max="9" width="16.23046875" bestFit="1" customWidth="1"/>
    <col min="10" max="10" width="51.15234375" customWidth="1"/>
    <col min="13" max="13" width="29.15234375" customWidth="1"/>
  </cols>
  <sheetData>
    <row r="2" spans="1:11" x14ac:dyDescent="0.4">
      <c r="B2" s="127" t="s">
        <v>807</v>
      </c>
      <c r="C2" s="127"/>
      <c r="D2" s="127"/>
      <c r="E2" s="128"/>
      <c r="F2" s="128"/>
      <c r="G2" s="128"/>
      <c r="H2" s="128"/>
      <c r="I2" s="128"/>
      <c r="J2" s="174" t="s">
        <v>697</v>
      </c>
    </row>
    <row r="3" spans="1:11" ht="15" thickBot="1" x14ac:dyDescent="0.45">
      <c r="B3" s="190"/>
      <c r="C3" s="190"/>
      <c r="D3" s="190"/>
      <c r="E3" s="191"/>
      <c r="F3" s="191"/>
      <c r="G3" s="191"/>
      <c r="H3" s="191"/>
      <c r="I3" s="191"/>
      <c r="J3" s="192"/>
    </row>
    <row r="4" spans="1:11" ht="15" thickBot="1" x14ac:dyDescent="0.45">
      <c r="B4" s="67" t="s">
        <v>0</v>
      </c>
      <c r="C4" s="67" t="s">
        <v>948</v>
      </c>
      <c r="D4" s="67" t="s">
        <v>786</v>
      </c>
      <c r="E4" s="67" t="s">
        <v>787</v>
      </c>
      <c r="F4" s="67" t="s">
        <v>690</v>
      </c>
      <c r="G4" s="67" t="s">
        <v>691</v>
      </c>
      <c r="H4" s="67" t="s">
        <v>793</v>
      </c>
      <c r="I4" s="67" t="s">
        <v>34</v>
      </c>
      <c r="J4" s="67" t="s">
        <v>1027</v>
      </c>
      <c r="K4" s="8"/>
    </row>
    <row r="5" spans="1:11" x14ac:dyDescent="0.4">
      <c r="A5">
        <v>1</v>
      </c>
      <c r="B5" t="s">
        <v>693</v>
      </c>
      <c r="C5" t="s">
        <v>950</v>
      </c>
      <c r="D5" t="s">
        <v>798</v>
      </c>
      <c r="E5" t="s">
        <v>949</v>
      </c>
      <c r="F5" s="186">
        <v>0.5</v>
      </c>
      <c r="G5" s="187">
        <v>2</v>
      </c>
      <c r="H5" s="187"/>
      <c r="I5" t="s">
        <v>53</v>
      </c>
      <c r="J5" t="s">
        <v>951</v>
      </c>
    </row>
    <row r="6" spans="1:11" x14ac:dyDescent="0.4">
      <c r="A6">
        <f t="shared" ref="A6:A26" si="0">A5+1</f>
        <v>2</v>
      </c>
      <c r="B6" t="s">
        <v>693</v>
      </c>
      <c r="C6" t="s">
        <v>950</v>
      </c>
      <c r="D6" t="s">
        <v>789</v>
      </c>
      <c r="E6" t="s">
        <v>821</v>
      </c>
      <c r="F6" s="155">
        <v>0.58399999999999996</v>
      </c>
      <c r="G6" s="155">
        <f>F6+(0.018*3)</f>
        <v>0.6379999999999999</v>
      </c>
      <c r="H6" s="121"/>
      <c r="I6" t="s">
        <v>53</v>
      </c>
      <c r="J6" t="s">
        <v>952</v>
      </c>
    </row>
    <row r="7" spans="1:11" x14ac:dyDescent="0.4">
      <c r="A7">
        <f t="shared" si="0"/>
        <v>3</v>
      </c>
      <c r="B7" t="s">
        <v>693</v>
      </c>
      <c r="C7" t="s">
        <v>950</v>
      </c>
      <c r="D7" t="s">
        <v>789</v>
      </c>
      <c r="E7" t="s">
        <v>1020</v>
      </c>
      <c r="F7" s="126">
        <v>0</v>
      </c>
      <c r="G7" s="155">
        <v>0.28999999999999998</v>
      </c>
      <c r="H7" s="121"/>
      <c r="I7" t="s">
        <v>53</v>
      </c>
      <c r="J7" t="s">
        <v>1021</v>
      </c>
    </row>
    <row r="8" spans="1:11" x14ac:dyDescent="0.4">
      <c r="A8">
        <f t="shared" si="0"/>
        <v>4</v>
      </c>
      <c r="B8" t="s">
        <v>693</v>
      </c>
      <c r="C8" t="s">
        <v>950</v>
      </c>
      <c r="D8" t="s">
        <v>789</v>
      </c>
      <c r="E8" t="s">
        <v>763</v>
      </c>
      <c r="F8" s="118">
        <v>0</v>
      </c>
      <c r="G8" s="118">
        <v>0.3</v>
      </c>
      <c r="H8" s="121"/>
      <c r="I8" t="s">
        <v>784</v>
      </c>
      <c r="J8" t="s">
        <v>1022</v>
      </c>
    </row>
    <row r="9" spans="1:11" x14ac:dyDescent="0.4">
      <c r="A9">
        <f t="shared" si="0"/>
        <v>5</v>
      </c>
      <c r="B9" t="s">
        <v>696</v>
      </c>
      <c r="C9" t="s">
        <v>953</v>
      </c>
      <c r="D9" t="s">
        <v>789</v>
      </c>
      <c r="E9" t="s">
        <v>785</v>
      </c>
      <c r="F9" s="117">
        <v>0.05</v>
      </c>
      <c r="G9" s="117">
        <v>0.25</v>
      </c>
      <c r="H9" s="117"/>
      <c r="I9" t="s">
        <v>53</v>
      </c>
      <c r="J9" t="s">
        <v>1023</v>
      </c>
    </row>
    <row r="10" spans="1:11" x14ac:dyDescent="0.4">
      <c r="A10">
        <f t="shared" si="0"/>
        <v>6</v>
      </c>
      <c r="B10" t="s">
        <v>696</v>
      </c>
      <c r="C10" t="s">
        <v>953</v>
      </c>
      <c r="D10" t="s">
        <v>798</v>
      </c>
      <c r="E10" t="s">
        <v>1028</v>
      </c>
      <c r="F10" s="117">
        <v>0.5</v>
      </c>
      <c r="G10" s="117">
        <v>2</v>
      </c>
      <c r="H10" s="117"/>
      <c r="I10" t="s">
        <v>53</v>
      </c>
      <c r="J10" t="s">
        <v>960</v>
      </c>
    </row>
    <row r="11" spans="1:11" x14ac:dyDescent="0.4">
      <c r="A11">
        <f t="shared" si="0"/>
        <v>7</v>
      </c>
      <c r="B11" t="s">
        <v>695</v>
      </c>
      <c r="C11" t="s">
        <v>953</v>
      </c>
      <c r="D11" t="s">
        <v>962</v>
      </c>
      <c r="E11" t="s">
        <v>961</v>
      </c>
      <c r="F11" s="117">
        <v>0</v>
      </c>
      <c r="G11" s="117">
        <v>1</v>
      </c>
      <c r="H11" s="117">
        <v>1</v>
      </c>
      <c r="I11" t="s">
        <v>53</v>
      </c>
      <c r="J11" t="s">
        <v>963</v>
      </c>
    </row>
    <row r="12" spans="1:11" x14ac:dyDescent="0.4">
      <c r="A12">
        <f t="shared" si="0"/>
        <v>8</v>
      </c>
      <c r="B12" t="s">
        <v>695</v>
      </c>
      <c r="C12" t="s">
        <v>953</v>
      </c>
      <c r="D12" t="s">
        <v>798</v>
      </c>
      <c r="E12" t="s">
        <v>1013</v>
      </c>
      <c r="F12" s="117">
        <v>0.5</v>
      </c>
      <c r="G12" s="117">
        <v>2</v>
      </c>
      <c r="H12" s="117"/>
      <c r="I12" t="s">
        <v>53</v>
      </c>
      <c r="J12" t="s">
        <v>964</v>
      </c>
    </row>
    <row r="13" spans="1:11" x14ac:dyDescent="0.4">
      <c r="A13">
        <f t="shared" si="0"/>
        <v>9</v>
      </c>
      <c r="B13" t="s">
        <v>695</v>
      </c>
      <c r="C13" t="s">
        <v>953</v>
      </c>
      <c r="D13" t="s">
        <v>798</v>
      </c>
      <c r="E13" t="s">
        <v>1014</v>
      </c>
      <c r="F13" s="117">
        <v>0.5</v>
      </c>
      <c r="G13" s="117">
        <v>2</v>
      </c>
      <c r="H13" s="117"/>
      <c r="I13" t="s">
        <v>53</v>
      </c>
      <c r="J13" t="s">
        <v>964</v>
      </c>
    </row>
    <row r="14" spans="1:11" x14ac:dyDescent="0.4">
      <c r="A14">
        <f t="shared" si="0"/>
        <v>10</v>
      </c>
      <c r="B14" t="s">
        <v>695</v>
      </c>
      <c r="C14" t="s">
        <v>953</v>
      </c>
      <c r="D14" t="s">
        <v>789</v>
      </c>
      <c r="E14" t="s">
        <v>692</v>
      </c>
      <c r="F14" s="117">
        <v>1</v>
      </c>
      <c r="G14" s="117">
        <v>3</v>
      </c>
      <c r="H14" s="117"/>
      <c r="I14" t="s">
        <v>53</v>
      </c>
      <c r="J14" t="s">
        <v>965</v>
      </c>
    </row>
    <row r="15" spans="1:11" x14ac:dyDescent="0.4">
      <c r="A15">
        <f t="shared" si="0"/>
        <v>11</v>
      </c>
      <c r="B15" t="s">
        <v>695</v>
      </c>
      <c r="C15" t="s">
        <v>953</v>
      </c>
      <c r="D15" t="s">
        <v>789</v>
      </c>
      <c r="E15" t="s">
        <v>796</v>
      </c>
      <c r="F15" s="117">
        <v>0.05</v>
      </c>
      <c r="G15" s="117">
        <v>0.25</v>
      </c>
      <c r="H15" s="117"/>
      <c r="I15" t="s">
        <v>53</v>
      </c>
      <c r="J15" t="s">
        <v>966</v>
      </c>
    </row>
    <row r="16" spans="1:11" x14ac:dyDescent="0.4">
      <c r="A16">
        <f t="shared" si="0"/>
        <v>12</v>
      </c>
      <c r="B16" t="s">
        <v>695</v>
      </c>
      <c r="C16" t="s">
        <v>953</v>
      </c>
      <c r="D16" t="s">
        <v>962</v>
      </c>
      <c r="E16" t="s">
        <v>800</v>
      </c>
      <c r="F16" s="117">
        <v>0</v>
      </c>
      <c r="G16" s="117">
        <v>1</v>
      </c>
      <c r="H16" s="117">
        <v>1</v>
      </c>
      <c r="I16" t="s">
        <v>53</v>
      </c>
      <c r="J16" t="s">
        <v>967</v>
      </c>
    </row>
    <row r="17" spans="1:15" x14ac:dyDescent="0.4">
      <c r="A17">
        <f t="shared" si="0"/>
        <v>13</v>
      </c>
      <c r="B17" t="s">
        <v>694</v>
      </c>
      <c r="C17" t="s">
        <v>694</v>
      </c>
      <c r="D17" t="s">
        <v>798</v>
      </c>
      <c r="E17" t="s">
        <v>968</v>
      </c>
      <c r="F17" s="117">
        <v>0.5</v>
      </c>
      <c r="G17" s="117">
        <v>2</v>
      </c>
      <c r="H17" s="117"/>
      <c r="I17" t="s">
        <v>53</v>
      </c>
      <c r="J17" t="s">
        <v>975</v>
      </c>
    </row>
    <row r="18" spans="1:15" x14ac:dyDescent="0.4">
      <c r="A18">
        <f t="shared" si="0"/>
        <v>14</v>
      </c>
      <c r="B18" t="s">
        <v>694</v>
      </c>
      <c r="C18" t="s">
        <v>694</v>
      </c>
      <c r="D18" t="s">
        <v>798</v>
      </c>
      <c r="E18" t="s">
        <v>803</v>
      </c>
      <c r="F18" s="117">
        <v>0.5</v>
      </c>
      <c r="G18" s="117">
        <v>2</v>
      </c>
      <c r="H18" s="117"/>
      <c r="I18" t="s">
        <v>53</v>
      </c>
      <c r="J18" t="s">
        <v>976</v>
      </c>
    </row>
    <row r="19" spans="1:15" x14ac:dyDescent="0.4">
      <c r="A19">
        <f t="shared" si="0"/>
        <v>15</v>
      </c>
      <c r="B19" t="s">
        <v>694</v>
      </c>
      <c r="C19" t="s">
        <v>694</v>
      </c>
      <c r="D19" t="s">
        <v>798</v>
      </c>
      <c r="E19" t="s">
        <v>812</v>
      </c>
      <c r="F19" s="117">
        <v>0.5</v>
      </c>
      <c r="G19" s="117">
        <v>2</v>
      </c>
      <c r="H19" s="117"/>
      <c r="I19" t="s">
        <v>53</v>
      </c>
      <c r="J19" t="s">
        <v>977</v>
      </c>
    </row>
    <row r="20" spans="1:15" x14ac:dyDescent="0.4">
      <c r="A20">
        <f t="shared" si="0"/>
        <v>16</v>
      </c>
      <c r="B20" t="s">
        <v>694</v>
      </c>
      <c r="C20" t="s">
        <v>694</v>
      </c>
      <c r="D20" t="s">
        <v>798</v>
      </c>
      <c r="E20" t="s">
        <v>805</v>
      </c>
      <c r="F20" s="117">
        <v>0.5</v>
      </c>
      <c r="G20" s="117">
        <v>2</v>
      </c>
      <c r="H20" s="117"/>
      <c r="I20" t="s">
        <v>53</v>
      </c>
      <c r="J20" t="s">
        <v>980</v>
      </c>
    </row>
    <row r="21" spans="1:15" x14ac:dyDescent="0.4">
      <c r="A21">
        <f t="shared" si="0"/>
        <v>17</v>
      </c>
      <c r="B21" t="s">
        <v>694</v>
      </c>
      <c r="C21" t="s">
        <v>694</v>
      </c>
      <c r="D21" t="s">
        <v>789</v>
      </c>
      <c r="E21" t="s">
        <v>818</v>
      </c>
      <c r="F21" s="117">
        <v>1</v>
      </c>
      <c r="G21" s="117">
        <v>5</v>
      </c>
      <c r="H21" s="117"/>
      <c r="I21" t="s">
        <v>48</v>
      </c>
      <c r="J21" t="s">
        <v>981</v>
      </c>
      <c r="M21" t="str" cm="1">
        <f t="array" ref="M21:M30">_xlfn._xlws.FILTER(E5:E26,D5:D26="effect sensitivity")</f>
        <v>RENEWAL RATE SENSITIVITY</v>
      </c>
      <c r="N21" t="str">
        <f>"'"&amp;M21&amp;"'"</f>
        <v>'RENEWAL RATE SENSITIVITY'</v>
      </c>
      <c r="O21" t="str">
        <f>_xlfn.TEXTJOIN(", ",TRUE,N21:N26)</f>
        <v>'RENEWAL RATE SENSITIVITY', 'CAR ADOPTION SENSITIVITY TO USAGE', 'BIKE ADOPTION SENSITIVITY TO PARKING', 'BIKE ADOPTION SENSITIVITY TO USAGE', 'CAR NETWORK DISTANCE SENSITIVITY'</v>
      </c>
    </row>
    <row r="22" spans="1:15" x14ac:dyDescent="0.4">
      <c r="A22">
        <f t="shared" si="0"/>
        <v>18</v>
      </c>
      <c r="B22" t="s">
        <v>694</v>
      </c>
      <c r="C22" t="s">
        <v>970</v>
      </c>
      <c r="D22" t="s">
        <v>798</v>
      </c>
      <c r="E22" t="s">
        <v>971</v>
      </c>
      <c r="F22" s="118">
        <v>0.5</v>
      </c>
      <c r="G22" s="121">
        <v>2</v>
      </c>
      <c r="H22" s="121"/>
      <c r="I22" t="s">
        <v>53</v>
      </c>
      <c r="J22" t="s">
        <v>983</v>
      </c>
      <c r="M22" t="str">
        <v>CAR ADOPTION SENSITIVITY TO USAGE</v>
      </c>
      <c r="N22" t="str">
        <f t="shared" ref="N22:N25" si="1">"'"&amp;M22&amp;"'"</f>
        <v>'CAR ADOPTION SENSITIVITY TO USAGE'</v>
      </c>
    </row>
    <row r="23" spans="1:15" x14ac:dyDescent="0.4">
      <c r="A23">
        <f t="shared" si="0"/>
        <v>19</v>
      </c>
      <c r="B23" t="s">
        <v>694</v>
      </c>
      <c r="C23" t="s">
        <v>970</v>
      </c>
      <c r="D23" t="s">
        <v>798</v>
      </c>
      <c r="E23" t="s">
        <v>972</v>
      </c>
      <c r="F23" s="118">
        <v>0.5</v>
      </c>
      <c r="G23" s="121">
        <v>2</v>
      </c>
      <c r="H23" s="121"/>
      <c r="I23" t="s">
        <v>53</v>
      </c>
      <c r="J23" t="s">
        <v>982</v>
      </c>
      <c r="M23" t="str">
        <v>BIKE ADOPTION SENSITIVITY TO PARKING</v>
      </c>
      <c r="N23" t="str">
        <f t="shared" si="1"/>
        <v>'BIKE ADOPTION SENSITIVITY TO PARKING'</v>
      </c>
    </row>
    <row r="24" spans="1:15" x14ac:dyDescent="0.4">
      <c r="A24">
        <f t="shared" si="0"/>
        <v>20</v>
      </c>
      <c r="B24" t="s">
        <v>694</v>
      </c>
      <c r="C24" t="s">
        <v>950</v>
      </c>
      <c r="D24" t="s">
        <v>789</v>
      </c>
      <c r="E24" t="s">
        <v>969</v>
      </c>
      <c r="F24" s="120">
        <v>5.0000000000000001E-4</v>
      </c>
      <c r="G24" s="120">
        <v>1.5E-3</v>
      </c>
      <c r="H24" s="121"/>
      <c r="I24" t="s">
        <v>228</v>
      </c>
      <c r="J24" t="s">
        <v>984</v>
      </c>
      <c r="M24" t="str">
        <v>BIKE ADOPTION SENSITIVITY TO USAGE</v>
      </c>
      <c r="N24" t="str">
        <f t="shared" si="1"/>
        <v>'BIKE ADOPTION SENSITIVITY TO USAGE'</v>
      </c>
    </row>
    <row r="25" spans="1:15" x14ac:dyDescent="0.4">
      <c r="A25">
        <f t="shared" si="0"/>
        <v>21</v>
      </c>
      <c r="B25" t="s">
        <v>927</v>
      </c>
      <c r="C25" t="s">
        <v>1026</v>
      </c>
      <c r="D25" t="s">
        <v>789</v>
      </c>
      <c r="E25" t="s">
        <v>973</v>
      </c>
      <c r="F25" s="120">
        <v>1E-3</v>
      </c>
      <c r="G25" s="120">
        <v>0.01</v>
      </c>
      <c r="H25" s="121"/>
      <c r="I25" t="s">
        <v>228</v>
      </c>
      <c r="J25" t="s">
        <v>989</v>
      </c>
      <c r="M25" t="str">
        <v>CAR NETWORK DISTANCE SENSITIVITY</v>
      </c>
      <c r="N25" t="str">
        <f t="shared" si="1"/>
        <v>'CAR NETWORK DISTANCE SENSITIVITY'</v>
      </c>
    </row>
    <row r="26" spans="1:15" ht="15" thickBot="1" x14ac:dyDescent="0.45">
      <c r="A26">
        <f t="shared" si="0"/>
        <v>22</v>
      </c>
      <c r="B26" s="67" t="s">
        <v>927</v>
      </c>
      <c r="C26" s="67" t="s">
        <v>1026</v>
      </c>
      <c r="D26" s="67" t="s">
        <v>789</v>
      </c>
      <c r="E26" s="67" t="s">
        <v>974</v>
      </c>
      <c r="F26" s="188">
        <v>1E-3</v>
      </c>
      <c r="G26" s="188">
        <v>5.0000000000000001E-3</v>
      </c>
      <c r="H26" s="189"/>
      <c r="I26" s="67" t="s">
        <v>228</v>
      </c>
      <c r="J26" s="67" t="s">
        <v>990</v>
      </c>
      <c r="M26" t="str">
        <v>CYCLING NETWORK DISTANCE SENSITIVITY</v>
      </c>
    </row>
    <row r="27" spans="1:15" x14ac:dyDescent="0.4">
      <c r="J27">
        <v>10</v>
      </c>
      <c r="M27" t="str">
        <v>SUBJECTIVE CYCLING TIME SENSITIVITY</v>
      </c>
    </row>
    <row r="28" spans="1:15" x14ac:dyDescent="0.4">
      <c r="B28" t="s">
        <v>226</v>
      </c>
      <c r="C28">
        <v>10</v>
      </c>
      <c r="J28" s="75">
        <f>1-(1-K28)^(1/$J$27)</f>
        <v>1.0045287082499632E-3</v>
      </c>
      <c r="K28">
        <v>0.01</v>
      </c>
      <c r="M28" t="str">
        <v>PARKING SEARCH AND EGRESS SENSITIVITY</v>
      </c>
    </row>
    <row r="29" spans="1:15" x14ac:dyDescent="0.4">
      <c r="C29" t="s">
        <v>988</v>
      </c>
      <c r="D29" t="s">
        <v>223</v>
      </c>
      <c r="M29" t="str">
        <v>SENSITIVITY TO SIDEWALK DATA UNCERTAINTY</v>
      </c>
    </row>
    <row r="30" spans="1:15" x14ac:dyDescent="0.4">
      <c r="B30" t="s">
        <v>985</v>
      </c>
      <c r="C30">
        <v>0.01</v>
      </c>
      <c r="D30" s="75">
        <f>1-(1-C30)^(1/$C$28)</f>
        <v>1.0045287082499632E-3</v>
      </c>
      <c r="M30" t="str">
        <v>SENSITIVITY TO CAR LANE DATA UNCERTAINTY</v>
      </c>
    </row>
    <row r="31" spans="1:15" x14ac:dyDescent="0.4">
      <c r="B31" t="s">
        <v>986</v>
      </c>
      <c r="C31">
        <v>0.03</v>
      </c>
      <c r="D31" s="75">
        <f>1-(1-C31)^(1/$C$28)</f>
        <v>3.0412866381062109E-3</v>
      </c>
    </row>
    <row r="32" spans="1:15" x14ac:dyDescent="0.4">
      <c r="B32" t="s">
        <v>987</v>
      </c>
      <c r="C32">
        <v>0.05</v>
      </c>
      <c r="D32" s="75">
        <f>1-(1-C32)^(1/$C$28)</f>
        <v>5.1161968918237433E-3</v>
      </c>
    </row>
    <row r="34" spans="2:9" x14ac:dyDescent="0.4">
      <c r="B34" t="s">
        <v>1018</v>
      </c>
    </row>
    <row r="35" spans="2:9" x14ac:dyDescent="0.4">
      <c r="B35" t="s">
        <v>1015</v>
      </c>
      <c r="C35" t="s">
        <v>1016</v>
      </c>
      <c r="D35" t="s">
        <v>1017</v>
      </c>
    </row>
    <row r="36" spans="2:9" x14ac:dyDescent="0.4">
      <c r="B36" t="str" cm="1">
        <f t="array" ref="B36:B45">_xlfn._xlws.FILTER(E5:E26,$D$5:$D$26="constant")</f>
        <v>DESIRED PEDESTRIAN SPACE SHARE</v>
      </c>
      <c r="C36" cm="1">
        <f t="array" ref="C36:C45">_xlfn._xlws.FILTER(F5:F26,$D$5:$D$26="constant")</f>
        <v>0.58399999999999996</v>
      </c>
      <c r="D36" cm="1">
        <f t="array" ref="D36:D45">_xlfn._xlws.FILTER(G5:G26,$D$5:$D$26="constant")</f>
        <v>0.6379999999999999</v>
      </c>
      <c r="F36" t="s">
        <v>1019</v>
      </c>
    </row>
    <row r="37" spans="2:9" x14ac:dyDescent="0.4">
      <c r="B37" t="str">
        <v>DESIRED SHARE OF CAR SPACE USED FOR PARKING</v>
      </c>
      <c r="C37">
        <v>0</v>
      </c>
      <c r="D37">
        <v>0.28999999999999998</v>
      </c>
      <c r="F37" t="str" cm="1">
        <f t="array" ref="F37">"['"&amp;_xlfn.TEXTJOIN("', '",TRUE,_xlfn._xlws.FILTER(E5:E26,$D$5:$D$26="effect sensitivity"))&amp;"']"</f>
        <v>['RENEWAL RATE SENSITIVITY', 'CAR ADOPTION SENSITIVITY TO USAGE', 'BIKE ADOPTION SENSITIVITY TO PARKING', 'BIKE ADOPTION SENSITIVITY TO USAGE', 'CAR NETWORK DISTANCE SENSITIVITY', 'CYCLING NETWORK DISTANCE SENSITIVITY', 'SUBJECTIVE CYCLING TIME SENSITIVITY', 'PARKING SEARCH AND EGRESS SENSITIVITY', 'SENSITIVITY TO SIDEWALK DATA UNCERTAINTY', 'SENSITIVITY TO CAR LANE DATA UNCERTAINTY']</v>
      </c>
    </row>
    <row r="38" spans="2:9" x14ac:dyDescent="0.4">
      <c r="B38" t="str">
        <v>PARKING SPOTS PER HOME CONSTRUCTED</v>
      </c>
      <c r="C38">
        <v>0</v>
      </c>
      <c r="D38">
        <v>0.3</v>
      </c>
    </row>
    <row r="39" spans="2:9" x14ac:dyDescent="0.4">
      <c r="B39" t="str">
        <v>REFERENCE SHIFT IN CAR ADOPTION</v>
      </c>
      <c r="C39">
        <v>0.05</v>
      </c>
      <c r="D39">
        <v>0.25</v>
      </c>
    </row>
    <row r="40" spans="2:9" x14ac:dyDescent="0.4">
      <c r="B40" t="str">
        <v>CONTACT RATE</v>
      </c>
      <c r="C40">
        <v>1</v>
      </c>
      <c r="D40">
        <v>3</v>
      </c>
    </row>
    <row r="41" spans="2:9" x14ac:dyDescent="0.4">
      <c r="B41" t="str">
        <v>BIKESHARING TO PRIVATE BIKE UPGRADE FRACTION</v>
      </c>
      <c r="C41">
        <v>0.05</v>
      </c>
      <c r="D41">
        <v>0.25</v>
      </c>
    </row>
    <row r="42" spans="2:9" x14ac:dyDescent="0.4">
      <c r="B42" t="str">
        <v>PERCEPTION TIME</v>
      </c>
      <c r="C42">
        <v>1</v>
      </c>
      <c r="D42">
        <v>5</v>
      </c>
    </row>
    <row r="43" spans="2:9" x14ac:dyDescent="0.4">
      <c r="B43" t="str">
        <v>NET ADDED PT CAPACITY PER YEAR</v>
      </c>
      <c r="C43">
        <v>5.0000000000000001E-4</v>
      </c>
      <c r="D43">
        <v>1.5E-3</v>
      </c>
    </row>
    <row r="44" spans="2:9" x14ac:dyDescent="0.4">
      <c r="B44" t="str">
        <v>DESTINATION SHIFT RATE RING</v>
      </c>
      <c r="C44">
        <v>1E-3</v>
      </c>
      <c r="D44">
        <v>0.01</v>
      </c>
    </row>
    <row r="45" spans="2:9" x14ac:dyDescent="0.4">
      <c r="B45" t="str">
        <v>DESTINATION SHIFT RATE CITY</v>
      </c>
      <c r="C45">
        <v>1E-3</v>
      </c>
      <c r="D45">
        <v>5.0000000000000001E-3</v>
      </c>
    </row>
    <row r="48" spans="2:9" ht="15" thickBot="1" x14ac:dyDescent="0.45">
      <c r="B48" s="193" t="s">
        <v>0</v>
      </c>
      <c r="C48" s="193" t="s">
        <v>948</v>
      </c>
      <c r="D48" s="193" t="s">
        <v>786</v>
      </c>
      <c r="E48" s="193" t="s">
        <v>787</v>
      </c>
      <c r="F48" s="193" t="s">
        <v>690</v>
      </c>
      <c r="G48" s="193" t="s">
        <v>691</v>
      </c>
      <c r="H48" s="193" t="s">
        <v>793</v>
      </c>
      <c r="I48" s="193" t="s">
        <v>34</v>
      </c>
    </row>
    <row r="49" spans="2:9" x14ac:dyDescent="0.4">
      <c r="B49" s="194" t="str" cm="1">
        <f t="array" ref="B49">INDEX($B$5:$I$29,INT((ROW(B49)-49)/2)+1,COLUMN(B49)-1)</f>
        <v>Public space</v>
      </c>
      <c r="C49" s="194" t="str" cm="1">
        <f t="array" ref="C49">INDEX($B$5:$I$29,INT((ROW(C49)-49)/2)+1,COLUMN(C49)-1)</f>
        <v>Future policy</v>
      </c>
      <c r="D49" s="194" t="str" cm="1">
        <f t="array" ref="D49">INDEX($B$5:$I$29,INT((ROW(D49)-49)/2)+1,COLUMN(D49)-1)</f>
        <v>effect sensitivity</v>
      </c>
      <c r="E49" s="194" t="str" cm="1">
        <f t="array" ref="E49">INDEX($B$5:$I$29,INT((ROW(E49)-49)/2)+1,COLUMN(E49)-1)</f>
        <v>RENEWAL RATE SENSITIVITY</v>
      </c>
      <c r="F49" s="194" cm="1">
        <f t="array" ref="F49">INDEX($B$5:$I$29,INT((ROW(F49)-49)/2)+1,COLUMN(F49)-1)</f>
        <v>0.5</v>
      </c>
      <c r="G49" s="194" cm="1">
        <f t="array" ref="G49">INDEX($B$5:$I$29,INT((ROW(G49)-49)/2)+1,COLUMN(G49)-1)</f>
        <v>2</v>
      </c>
      <c r="H49" s="194" cm="1">
        <f t="array" ref="H49">INDEX($B$5:$I$29,INT((ROW(H49)-49)/2)+1,COLUMN(H49)-1)</f>
        <v>0</v>
      </c>
      <c r="I49" s="194" t="str" cm="1">
        <f t="array" ref="I49">INDEX($B$5:$I$29,INT((ROW(I49)-49)/2)+1,COLUMN(I49)-1)</f>
        <v>Dmnl</v>
      </c>
    </row>
    <row r="50" spans="2:9" ht="29.25" customHeight="1" x14ac:dyDescent="0.4">
      <c r="B50" s="209" t="str" cm="1">
        <f t="array" ref="B50">IF(MOD(ROW(B50)-49,2)=1,INDEX($J$5:$J$29,INT((ROW(B50)-49)/2)+1),"")</f>
        <v>The base assumption is for the renewal rate to increase by one third of its current value by the time cycling uptake reaches 50% of the population (see Appendix ). Since this effect size is uncertain, it is varied by X^y if X is the normalized effect from the base assumption, and y varies between 0.5 and 2.</v>
      </c>
      <c r="C50" s="209"/>
      <c r="D50" s="209"/>
      <c r="E50" s="209"/>
      <c r="F50" s="209"/>
      <c r="G50" s="209"/>
      <c r="H50" s="209"/>
      <c r="I50" s="209"/>
    </row>
    <row r="51" spans="2:9" x14ac:dyDescent="0.4">
      <c r="B51" s="194" t="str" cm="1">
        <f t="array" ref="B51">INDEX($B$5:$I$29,INT((ROW(B51)-49)/2)+1,COLUMN(B51)-1)</f>
        <v>Public space</v>
      </c>
      <c r="C51" s="194" t="str" cm="1">
        <f t="array" ref="C51">INDEX($B$5:$I$29,INT((ROW(C51)-49)/2)+1,COLUMN(C51)-1)</f>
        <v>Future policy</v>
      </c>
      <c r="D51" s="194" t="str" cm="1">
        <f t="array" ref="D51">INDEX($B$5:$I$29,INT((ROW(D51)-49)/2)+1,COLUMN(D51)-1)</f>
        <v>constant</v>
      </c>
      <c r="E51" s="194" t="str" cm="1">
        <f t="array" ref="E51">INDEX($B$5:$I$29,INT((ROW(E51)-49)/2)+1,COLUMN(E51)-1)</f>
        <v>DESIRED PEDESTRIAN SPACE SHARE</v>
      </c>
      <c r="F51" s="194" cm="1">
        <f t="array" ref="F51">INDEX($B$5:$I$29,INT((ROW(F51)-49)/2)+1,COLUMN(F51)-1)</f>
        <v>0.58399999999999996</v>
      </c>
      <c r="G51" s="194" cm="1">
        <f t="array" ref="G51">INDEX($B$5:$I$29,INT((ROW(G51)-49)/2)+1,COLUMN(G51)-1)</f>
        <v>0.6379999999999999</v>
      </c>
      <c r="H51" s="194" cm="1">
        <f t="array" ref="H51">INDEX($B$5:$I$29,INT((ROW(H51)-49)/2)+1,COLUMN(H51)-1)</f>
        <v>0</v>
      </c>
      <c r="I51" s="194" t="str" cm="1">
        <f t="array" ref="I51">INDEX($B$5:$I$29,INT((ROW(I51)-49)/2)+1,COLUMN(I51)-1)</f>
        <v>Dmnl</v>
      </c>
    </row>
    <row r="52" spans="2:9" ht="45.45" customHeight="1" x14ac:dyDescent="0.4">
      <c r="B52" s="211" t="str" cm="1">
        <f t="array" ref="B52">IF(MOD(ROW(B52)-49,2)=1,INDEX($J$5:$J$29,INT((ROW(B52)-49)/2)+1),"")</f>
        <v>Pedestrian space share would increase by 1.8%-points (to 58.4% based on estimate for current share) on average if the full road network was reallocated in proportion to current reallocation plans. Since the final ambition for pedestrianization is uncertain and may increase, this share is varied between a 1.8% and 7.2%-point increase (four times current ambition).</v>
      </c>
      <c r="C52" s="211"/>
      <c r="D52" s="211"/>
      <c r="E52" s="211"/>
      <c r="F52" s="211"/>
      <c r="G52" s="211"/>
      <c r="H52" s="211"/>
      <c r="I52" s="211"/>
    </row>
    <row r="53" spans="2:9" x14ac:dyDescent="0.4">
      <c r="B53" s="194" t="str" cm="1">
        <f t="array" ref="B53">INDEX($B$5:$I$29,INT((ROW(B53)-49)/2)+1,COLUMN(B53)-1)</f>
        <v>Public space</v>
      </c>
      <c r="C53" s="194" t="str" cm="1">
        <f t="array" ref="C53">INDEX($B$5:$I$29,INT((ROW(C53)-49)/2)+1,COLUMN(C53)-1)</f>
        <v>Future policy</v>
      </c>
      <c r="D53" s="194" t="str" cm="1">
        <f t="array" ref="D53">INDEX($B$5:$I$29,INT((ROW(D53)-49)/2)+1,COLUMN(D53)-1)</f>
        <v>constant</v>
      </c>
      <c r="E53" s="194" t="str" cm="1">
        <f t="array" ref="E53">INDEX($B$5:$I$29,INT((ROW(E53)-49)/2)+1,COLUMN(E53)-1)</f>
        <v>DESIRED SHARE OF CAR SPACE USED FOR PARKING</v>
      </c>
      <c r="F53" s="194" cm="1">
        <f t="array" ref="F53">INDEX($B$5:$I$29,INT((ROW(F53)-49)/2)+1,COLUMN(F53)-1)</f>
        <v>0</v>
      </c>
      <c r="G53" s="194" cm="1">
        <f t="array" ref="G53">INDEX($B$5:$I$29,INT((ROW(G53)-49)/2)+1,COLUMN(G53)-1)</f>
        <v>0.28999999999999998</v>
      </c>
      <c r="H53" s="194" cm="1">
        <f t="array" ref="H53">INDEX($B$5:$I$29,INT((ROW(H53)-49)/2)+1,COLUMN(H53)-1)</f>
        <v>0</v>
      </c>
      <c r="I53" s="194" t="str" cm="1">
        <f t="array" ref="I53">INDEX($B$5:$I$29,INT((ROW(I53)-49)/2)+1,COLUMN(I53)-1)</f>
        <v>Dmnl</v>
      </c>
    </row>
    <row r="54" spans="2:9" ht="29.25" customHeight="1" x14ac:dyDescent="0.4">
      <c r="B54" s="209" t="str" cm="1">
        <f t="array" ref="B54">IF(MOD(ROW(B54)-49,2)=1,INDEX($J$5:$J$29,INT((ROW(B54)-49)/2)+1),"")</f>
        <v>Currently, 19% of space for motorists is parking space. This is uncertain: road space reallocation could consume parking space to a larger or smaller extent. The desired share is varied between zero on-street parking and 10%-points more than today.</v>
      </c>
      <c r="C54" s="209"/>
      <c r="D54" s="209"/>
      <c r="E54" s="209"/>
      <c r="F54" s="209"/>
      <c r="G54" s="209"/>
      <c r="H54" s="209"/>
      <c r="I54" s="209"/>
    </row>
    <row r="55" spans="2:9" x14ac:dyDescent="0.4">
      <c r="B55" s="195" t="str" cm="1">
        <f t="array" ref="B55">INDEX($B$5:$I$29,INT((ROW(B55)-49)/2)+1,COLUMN(B55)-1)</f>
        <v>Public space</v>
      </c>
      <c r="C55" s="195" t="str" cm="1">
        <f t="array" ref="C55">INDEX($B$5:$I$29,INT((ROW(C55)-49)/2)+1,COLUMN(C55)-1)</f>
        <v>Future policy</v>
      </c>
      <c r="D55" s="195" t="str" cm="1">
        <f t="array" ref="D55">INDEX($B$5:$I$29,INT((ROW(D55)-49)/2)+1,COLUMN(D55)-1)</f>
        <v>constant</v>
      </c>
      <c r="E55" s="195" t="str" cm="1">
        <f t="array" ref="E55">INDEX($B$5:$I$29,INT((ROW(E55)-49)/2)+1,COLUMN(E55)-1)</f>
        <v>PARKING SPOTS PER HOME CONSTRUCTED</v>
      </c>
      <c r="F55" s="195" cm="1">
        <f t="array" ref="F55">INDEX($B$5:$I$29,INT((ROW(F55)-49)/2)+1,COLUMN(F55)-1)</f>
        <v>0</v>
      </c>
      <c r="G55" s="195" cm="1">
        <f t="array" ref="G55">INDEX($B$5:$I$29,INT((ROW(G55)-49)/2)+1,COLUMN(G55)-1)</f>
        <v>0.3</v>
      </c>
      <c r="H55" s="195" cm="1">
        <f t="array" ref="H55">INDEX($B$5:$I$29,INT((ROW(H55)-49)/2)+1,COLUMN(H55)-1)</f>
        <v>0</v>
      </c>
      <c r="I55" s="195" t="str" cm="1">
        <f t="array" ref="I55">INDEX($B$5:$I$29,INT((ROW(I55)-49)/2)+1,COLUMN(I55)-1)</f>
        <v>spots/homes</v>
      </c>
    </row>
    <row r="56" spans="2:9" ht="29.25" customHeight="1" x14ac:dyDescent="0.4">
      <c r="B56" s="209" t="str" cm="1">
        <f t="array" ref="B56">IF(MOD(ROW(B56)-49,2)=1,INDEX($J$5:$J$29,INT((ROW(B56)-49)/2)+1),"")</f>
        <v>Currently, there are 0.33 residential parking spots per home in the city. This is expected to decline in future residential housing, but to which extent is uncertain. The chosen range is between 0 and 0.3 parking spots per home</v>
      </c>
      <c r="C56" s="209"/>
      <c r="D56" s="209"/>
      <c r="E56" s="209"/>
      <c r="F56" s="209"/>
      <c r="G56" s="209"/>
      <c r="H56" s="209"/>
      <c r="I56" s="209"/>
    </row>
    <row r="57" spans="2:9" x14ac:dyDescent="0.4">
      <c r="B57" s="194" t="str" cm="1">
        <f t="array" ref="B57">INDEX($B$5:$I$29,INT((ROW(B57)-49)/2)+1,COLUMN(B57)-1)</f>
        <v>Car adoption</v>
      </c>
      <c r="C57" s="194" t="str" cm="1">
        <f t="array" ref="C57">INDEX($B$5:$I$29,INT((ROW(C57)-49)/2)+1,COLUMN(C57)-1)</f>
        <v>Vehicle adoption</v>
      </c>
      <c r="D57" s="194" t="str" cm="1">
        <f t="array" ref="D57">INDEX($B$5:$I$29,INT((ROW(D57)-49)/2)+1,COLUMN(D57)-1)</f>
        <v>constant</v>
      </c>
      <c r="E57" s="194" t="str" cm="1">
        <f t="array" ref="E57">INDEX($B$5:$I$29,INT((ROW(E57)-49)/2)+1,COLUMN(E57)-1)</f>
        <v>REFERENCE SHIFT IN CAR ADOPTION</v>
      </c>
      <c r="F57" s="194" cm="1">
        <f t="array" ref="F57">INDEX($B$5:$I$29,INT((ROW(F57)-49)/2)+1,COLUMN(F57)-1)</f>
        <v>0.05</v>
      </c>
      <c r="G57" s="194" cm="1">
        <f t="array" ref="G57">INDEX($B$5:$I$29,INT((ROW(G57)-49)/2)+1,COLUMN(G57)-1)</f>
        <v>0.25</v>
      </c>
      <c r="H57" s="194" cm="1">
        <f t="array" ref="H57">INDEX($B$5:$I$29,INT((ROW(H57)-49)/2)+1,COLUMN(H57)-1)</f>
        <v>0</v>
      </c>
      <c r="I57" s="194" t="str" cm="1">
        <f t="array" ref="I57">INDEX($B$5:$I$29,INT((ROW(I57)-49)/2)+1,COLUMN(I57)-1)</f>
        <v>Dmnl</v>
      </c>
    </row>
    <row r="58" spans="2:9" ht="29.25" customHeight="1" x14ac:dyDescent="0.4">
      <c r="B58" s="209" t="str" cm="1">
        <f t="array" ref="B58">IF(MOD(ROW(B58)-49,2)=1,INDEX($J$5:$J$29,INT((ROW(B58)-49)/2)+1),"")</f>
        <v>It is uncertain to which extent young adults are currently avoiding car ownership rather than postponing car ownership. A wide range in percentage point shift in car adoption (5 - 25%) is adopted, relative to current adult car adoption</v>
      </c>
      <c r="C58" s="209"/>
      <c r="D58" s="209"/>
      <c r="E58" s="209"/>
      <c r="F58" s="209"/>
      <c r="G58" s="209"/>
      <c r="H58" s="209"/>
      <c r="I58" s="209"/>
    </row>
    <row r="59" spans="2:9" x14ac:dyDescent="0.4">
      <c r="B59" s="194" t="str" cm="1">
        <f t="array" ref="B59">INDEX($B$5:$I$29,INT((ROW(B59)-49)/2)+1,COLUMN(B59)-1)</f>
        <v>Car adoption</v>
      </c>
      <c r="C59" s="194" t="str" cm="1">
        <f t="array" ref="C59">INDEX($B$5:$I$29,INT((ROW(C59)-49)/2)+1,COLUMN(C59)-1)</f>
        <v>Vehicle adoption</v>
      </c>
      <c r="D59" s="194" t="str" cm="1">
        <f t="array" ref="D59">INDEX($B$5:$I$29,INT((ROW(D59)-49)/2)+1,COLUMN(D59)-1)</f>
        <v>effect sensitivity</v>
      </c>
      <c r="E59" s="194" t="str" cm="1">
        <f t="array" ref="E59">INDEX($B$5:$I$29,INT((ROW(E59)-49)/2)+1,COLUMN(E59)-1)</f>
        <v>CAR ADOPTION SENSITIVITY TO USAGE</v>
      </c>
      <c r="F59" s="194" cm="1">
        <f t="array" ref="F59">INDEX($B$5:$I$29,INT((ROW(F59)-49)/2)+1,COLUMN(F59)-1)</f>
        <v>0.5</v>
      </c>
      <c r="G59" s="194" cm="1">
        <f t="array" ref="G59">INDEX($B$5:$I$29,INT((ROW(G59)-49)/2)+1,COLUMN(G59)-1)</f>
        <v>2</v>
      </c>
      <c r="H59" s="194" cm="1">
        <f t="array" ref="H59">INDEX($B$5:$I$29,INT((ROW(H59)-49)/2)+1,COLUMN(H59)-1)</f>
        <v>0</v>
      </c>
      <c r="I59" s="194" t="str" cm="1">
        <f t="array" ref="I59">INDEX($B$5:$I$29,INT((ROW(I59)-49)/2)+1,COLUMN(I59)-1)</f>
        <v>Dmnl</v>
      </c>
    </row>
    <row r="60" spans="2:9" ht="29.25" customHeight="1" x14ac:dyDescent="0.4">
      <c r="B60" s="209" t="str" cm="1">
        <f t="array" ref="B60">IF(MOD(ROW(B60)-49,2)=1,INDEX($J$5:$J$29,INT((ROW(B60)-49)/2)+1),"")</f>
        <v>The base assumption is for the current shift in young adult car adoption to vary by 30% if car usage varies by 50% (See Appendix). Since this effect size is uncertain, it is varied by X^y if X is the normalized effect from the base assumption, and y varies between 0.5 and 2.</v>
      </c>
      <c r="C60" s="209"/>
      <c r="D60" s="209"/>
      <c r="E60" s="209"/>
      <c r="F60" s="209"/>
      <c r="G60" s="209"/>
      <c r="H60" s="209"/>
      <c r="I60" s="209"/>
    </row>
    <row r="61" spans="2:9" x14ac:dyDescent="0.4">
      <c r="B61" s="194" t="str" cm="1">
        <f t="array" ref="B61">INDEX($B$5:$I$29,INT((ROW(B61)-49)/2)+1,COLUMN(B61)-1)</f>
        <v>Bike adoption</v>
      </c>
      <c r="C61" s="194" t="str" cm="1">
        <f t="array" ref="C61">INDEX($B$5:$I$29,INT((ROW(C61)-49)/2)+1,COLUMN(C61)-1)</f>
        <v>Vehicle adoption</v>
      </c>
      <c r="D61" s="194" t="str" cm="1">
        <f t="array" ref="D61">INDEX($B$5:$I$29,INT((ROW(D61)-49)/2)+1,COLUMN(D61)-1)</f>
        <v>switch</v>
      </c>
      <c r="E61" s="194" t="str" cm="1">
        <f t="array" ref="E61">INDEX($B$5:$I$29,INT((ROW(E61)-49)/2)+1,COLUMN(E61)-1)</f>
        <v>TIPPING POINT SWITCH</v>
      </c>
      <c r="F61" s="194" cm="1">
        <f t="array" ref="F61">INDEX($B$5:$I$29,INT((ROW(F61)-49)/2)+1,COLUMN(F61)-1)</f>
        <v>0</v>
      </c>
      <c r="G61" s="194" cm="1">
        <f t="array" ref="G61">INDEX($B$5:$I$29,INT((ROW(G61)-49)/2)+1,COLUMN(G61)-1)</f>
        <v>1</v>
      </c>
      <c r="H61" s="194" cm="1">
        <f t="array" ref="H61">INDEX($B$5:$I$29,INT((ROW(H61)-49)/2)+1,COLUMN(H61)-1)</f>
        <v>1</v>
      </c>
      <c r="I61" s="194" t="str" cm="1">
        <f t="array" ref="I61">INDEX($B$5:$I$29,INT((ROW(I61)-49)/2)+1,COLUMN(I61)-1)</f>
        <v>Dmnl</v>
      </c>
    </row>
    <row r="62" spans="2:9" ht="47.15" customHeight="1" x14ac:dyDescent="0.4">
      <c r="B62" s="209" t="str" cm="1">
        <f t="array" ref="B62">IF(MOD(ROW(B62)-49,2)=1,INDEX($J$5:$J$29,INT((ROW(B62)-49)/2)+1),"")</f>
        <v>Two curves are included in the model that describes how soon the cautious majority becomes receptive to cycling: an early and a late tipping point. The early tipping point assumes the case study is currently at the tipping point, the late tipping point is assumed at an extra 20%-point completion of the cycling network. This assumption is informed by the expert interviews.</v>
      </c>
      <c r="C62" s="209"/>
      <c r="D62" s="209"/>
      <c r="E62" s="209"/>
      <c r="F62" s="209"/>
      <c r="G62" s="209"/>
      <c r="H62" s="209"/>
      <c r="I62" s="209"/>
    </row>
    <row r="63" spans="2:9" x14ac:dyDescent="0.4">
      <c r="B63" s="194" t="str" cm="1">
        <f t="array" ref="B63">INDEX($B$5:$I$29,INT((ROW(B63)-49)/2)+1,COLUMN(B63)-1)</f>
        <v>Bike adoption</v>
      </c>
      <c r="C63" s="194" t="str" cm="1">
        <f t="array" ref="C63">INDEX($B$5:$I$29,INT((ROW(C63)-49)/2)+1,COLUMN(C63)-1)</f>
        <v>Vehicle adoption</v>
      </c>
      <c r="D63" s="194" t="str" cm="1">
        <f t="array" ref="D63">INDEX($B$5:$I$29,INT((ROW(D63)-49)/2)+1,COLUMN(D63)-1)</f>
        <v>effect sensitivity</v>
      </c>
      <c r="E63" s="194" t="str" cm="1">
        <f t="array" ref="E63">INDEX($B$5:$I$29,INT((ROW(E63)-49)/2)+1,COLUMN(E63)-1)</f>
        <v>BIKE ADOPTION SENSITIVITY TO PARKING</v>
      </c>
      <c r="F63" s="194" cm="1">
        <f t="array" ref="F63">INDEX($B$5:$I$29,INT((ROW(F63)-49)/2)+1,COLUMN(F63)-1)</f>
        <v>0.5</v>
      </c>
      <c r="G63" s="194" cm="1">
        <f t="array" ref="G63">INDEX($B$5:$I$29,INT((ROW(G63)-49)/2)+1,COLUMN(G63)-1)</f>
        <v>2</v>
      </c>
      <c r="H63" s="194" cm="1">
        <f t="array" ref="H63">INDEX($B$5:$I$29,INT((ROW(H63)-49)/2)+1,COLUMN(H63)-1)</f>
        <v>0</v>
      </c>
      <c r="I63" s="194" t="str" cm="1">
        <f t="array" ref="I63">INDEX($B$5:$I$29,INT((ROW(I63)-49)/2)+1,COLUMN(I63)-1)</f>
        <v>Dmnl</v>
      </c>
    </row>
    <row r="64" spans="2:9" ht="29.25" customHeight="1" x14ac:dyDescent="0.4">
      <c r="B64" s="209" t="str" cm="1">
        <f t="array" ref="B64">IF(MOD(ROW(B64)-49,2)=1,INDEX($J$5:$J$29,INT((ROW(B64)-49)/2)+1),"")</f>
        <v>The base assumption is for bike usage and bike parking availability together to multiply the reference contact fruitfulness (0.02) by up to 4 times (see Appendix ). Since this effect size is uncertain, it is varied by X^y if X is the normalized effect from the base assumption, and y varies between 0.5 and 2.</v>
      </c>
      <c r="C64" s="209"/>
      <c r="D64" s="209"/>
      <c r="E64" s="209"/>
      <c r="F64" s="209"/>
      <c r="G64" s="209"/>
      <c r="H64" s="209"/>
      <c r="I64" s="209"/>
    </row>
    <row r="65" spans="2:9" x14ac:dyDescent="0.4">
      <c r="B65" s="194" t="str" cm="1">
        <f t="array" ref="B65">INDEX($B$5:$I$29,INT((ROW(B65)-49)/2)+1,COLUMN(B65)-1)</f>
        <v>Bike adoption</v>
      </c>
      <c r="C65" s="194" t="str" cm="1">
        <f t="array" ref="C65">INDEX($B$5:$I$29,INT((ROW(C65)-49)/2)+1,COLUMN(C65)-1)</f>
        <v>Vehicle adoption</v>
      </c>
      <c r="D65" s="194" t="str" cm="1">
        <f t="array" ref="D65">INDEX($B$5:$I$29,INT((ROW(D65)-49)/2)+1,COLUMN(D65)-1)</f>
        <v>effect sensitivity</v>
      </c>
      <c r="E65" s="194" t="str" cm="1">
        <f t="array" ref="E65">INDEX($B$5:$I$29,INT((ROW(E65)-49)/2)+1,COLUMN(E65)-1)</f>
        <v>BIKE ADOPTION SENSITIVITY TO USAGE</v>
      </c>
      <c r="F65" s="194" cm="1">
        <f t="array" ref="F65">INDEX($B$5:$I$29,INT((ROW(F65)-49)/2)+1,COLUMN(F65)-1)</f>
        <v>0.5</v>
      </c>
      <c r="G65" s="194" cm="1">
        <f t="array" ref="G65">INDEX($B$5:$I$29,INT((ROW(G65)-49)/2)+1,COLUMN(G65)-1)</f>
        <v>2</v>
      </c>
      <c r="H65" s="194" cm="1">
        <f t="array" ref="H65">INDEX($B$5:$I$29,INT((ROW(H65)-49)/2)+1,COLUMN(H65)-1)</f>
        <v>0</v>
      </c>
      <c r="I65" s="194" t="str" cm="1">
        <f t="array" ref="I65">INDEX($B$5:$I$29,INT((ROW(I65)-49)/2)+1,COLUMN(I65)-1)</f>
        <v>Dmnl</v>
      </c>
    </row>
    <row r="66" spans="2:9" ht="29.25" customHeight="1" x14ac:dyDescent="0.4">
      <c r="B66" s="209" t="str" cm="1">
        <f t="array" ref="B66">IF(MOD(ROW(B66)-49,2)=1,INDEX($J$5:$J$29,INT((ROW(B66)-49)/2)+1),"")</f>
        <v>The base assumption is for bike usage and bike parking availability together to multiply the reference contact fruitfulness (0.02) by up to 4 times (see Appendix ). Since this effect size is uncertain, it is varied by X^y if X is the normalized effect from the base assumption, and y varies between 0.5 and 2.</v>
      </c>
      <c r="C66" s="209"/>
      <c r="D66" s="209"/>
      <c r="E66" s="209"/>
      <c r="F66" s="209"/>
      <c r="G66" s="209"/>
      <c r="H66" s="209"/>
      <c r="I66" s="209"/>
    </row>
    <row r="67" spans="2:9" x14ac:dyDescent="0.4">
      <c r="B67" s="194" t="str" cm="1">
        <f t="array" ref="B67">INDEX($B$5:$I$29,INT((ROW(B67)-49)/2)+1,COLUMN(B67)-1)</f>
        <v>Bike adoption</v>
      </c>
      <c r="C67" s="194" t="str" cm="1">
        <f t="array" ref="C67">INDEX($B$5:$I$29,INT((ROW(C67)-49)/2)+1,COLUMN(C67)-1)</f>
        <v>Vehicle adoption</v>
      </c>
      <c r="D67" s="194" t="str" cm="1">
        <f t="array" ref="D67">INDEX($B$5:$I$29,INT((ROW(D67)-49)/2)+1,COLUMN(D67)-1)</f>
        <v>constant</v>
      </c>
      <c r="E67" s="194" t="str" cm="1">
        <f t="array" ref="E67">INDEX($B$5:$I$29,INT((ROW(E67)-49)/2)+1,COLUMN(E67)-1)</f>
        <v>CONTACT RATE</v>
      </c>
      <c r="F67" s="194" cm="1">
        <f t="array" ref="F67">INDEX($B$5:$I$29,INT((ROW(F67)-49)/2)+1,COLUMN(F67)-1)</f>
        <v>1</v>
      </c>
      <c r="G67" s="194" cm="1">
        <f t="array" ref="G67">INDEX($B$5:$I$29,INT((ROW(G67)-49)/2)+1,COLUMN(G67)-1)</f>
        <v>3</v>
      </c>
      <c r="H67" s="194" cm="1">
        <f t="array" ref="H67">INDEX($B$5:$I$29,INT((ROW(H67)-49)/2)+1,COLUMN(H67)-1)</f>
        <v>0</v>
      </c>
      <c r="I67" s="194" t="str" cm="1">
        <f t="array" ref="I67">INDEX($B$5:$I$29,INT((ROW(I67)-49)/2)+1,COLUMN(I67)-1)</f>
        <v>Dmnl</v>
      </c>
    </row>
    <row r="68" spans="2:9" ht="29.25" customHeight="1" x14ac:dyDescent="0.4">
      <c r="B68" s="209" t="str" cm="1">
        <f t="array" ref="B68">IF(MOD(ROW(B68)-49,2)=1,INDEX($J$5:$J$29,INT((ROW(B68)-49)/2)+1),"")</f>
        <v>The contact rate (number of unique, high-quality social contacts per person per year) is uncertain, although in urban areas it tends to be high (\citep{}). A wide range is chosen of 3 - 7.</v>
      </c>
      <c r="C68" s="209"/>
      <c r="D68" s="209"/>
      <c r="E68" s="209"/>
      <c r="F68" s="209"/>
      <c r="G68" s="209"/>
      <c r="H68" s="209"/>
      <c r="I68" s="209"/>
    </row>
    <row r="69" spans="2:9" x14ac:dyDescent="0.4">
      <c r="B69" s="194" t="str" cm="1">
        <f t="array" ref="B69">INDEX($B$5:$I$29,INT((ROW(B69)-49)/2)+1,COLUMN(B69)-1)</f>
        <v>Bike adoption</v>
      </c>
      <c r="C69" s="194" t="str" cm="1">
        <f t="array" ref="C69">INDEX($B$5:$I$29,INT((ROW(C69)-49)/2)+1,COLUMN(C69)-1)</f>
        <v>Vehicle adoption</v>
      </c>
      <c r="D69" s="194" t="str" cm="1">
        <f t="array" ref="D69">INDEX($B$5:$I$29,INT((ROW(D69)-49)/2)+1,COLUMN(D69)-1)</f>
        <v>constant</v>
      </c>
      <c r="E69" s="194" t="str" cm="1">
        <f t="array" ref="E69">INDEX($B$5:$I$29,INT((ROW(E69)-49)/2)+1,COLUMN(E69)-1)</f>
        <v>BIKESHARING TO PRIVATE BIKE UPGRADE FRACTION</v>
      </c>
      <c r="F69" s="194" cm="1">
        <f t="array" ref="F69">INDEX($B$5:$I$29,INT((ROW(F69)-49)/2)+1,COLUMN(F69)-1)</f>
        <v>0.05</v>
      </c>
      <c r="G69" s="194" cm="1">
        <f t="array" ref="G69">INDEX($B$5:$I$29,INT((ROW(G69)-49)/2)+1,COLUMN(G69)-1)</f>
        <v>0.25</v>
      </c>
      <c r="H69" s="194" cm="1">
        <f t="array" ref="H69">INDEX($B$5:$I$29,INT((ROW(H69)-49)/2)+1,COLUMN(H69)-1)</f>
        <v>0</v>
      </c>
      <c r="I69" s="194" t="str" cm="1">
        <f t="array" ref="I69">INDEX($B$5:$I$29,INT((ROW(I69)-49)/2)+1,COLUMN(I69)-1)</f>
        <v>Dmnl</v>
      </c>
    </row>
    <row r="70" spans="2:9" x14ac:dyDescent="0.4">
      <c r="B70" s="209" t="str" cm="1">
        <f t="array" ref="B70">IF(MOD(ROW(B70)-49,2)=1,INDEX($J$5:$J$29,INT((ROW(B70)-49)/2)+1),"")</f>
        <v>The share of bikesharing users upgrading to private bike use after two years is uncertain. A wide range is assumed of 5 - 25%.</v>
      </c>
      <c r="C70" s="209"/>
      <c r="D70" s="209"/>
      <c r="E70" s="209"/>
      <c r="F70" s="209"/>
      <c r="G70" s="209"/>
      <c r="H70" s="209"/>
      <c r="I70" s="209"/>
    </row>
    <row r="71" spans="2:9" x14ac:dyDescent="0.4">
      <c r="B71" s="194" t="str" cm="1">
        <f t="array" ref="B71">INDEX($B$5:$I$29,INT((ROW(B71)-49)/2)+1,COLUMN(B71)-1)</f>
        <v>Bike adoption</v>
      </c>
      <c r="C71" s="194" t="str" cm="1">
        <f t="array" ref="C71">INDEX($B$5:$I$29,INT((ROW(C71)-49)/2)+1,COLUMN(C71)-1)</f>
        <v>Vehicle adoption</v>
      </c>
      <c r="D71" s="194" t="str" cm="1">
        <f t="array" ref="D71">INDEX($B$5:$I$29,INT((ROW(D71)-49)/2)+1,COLUMN(D71)-1)</f>
        <v>switch</v>
      </c>
      <c r="E71" s="194" t="str" cm="1">
        <f t="array" ref="E71">INDEX($B$5:$I$29,INT((ROW(E71)-49)/2)+1,COLUMN(E71)-1)</f>
        <v>EBIKE UPTAKE SWITCH</v>
      </c>
      <c r="F71" s="194" cm="1">
        <f t="array" ref="F71">INDEX($B$5:$I$29,INT((ROW(F71)-49)/2)+1,COLUMN(F71)-1)</f>
        <v>0</v>
      </c>
      <c r="G71" s="194" cm="1">
        <f t="array" ref="G71">INDEX($B$5:$I$29,INT((ROW(G71)-49)/2)+1,COLUMN(G71)-1)</f>
        <v>1</v>
      </c>
      <c r="H71" s="194" cm="1">
        <f t="array" ref="H71">INDEX($B$5:$I$29,INT((ROW(H71)-49)/2)+1,COLUMN(H71)-1)</f>
        <v>1</v>
      </c>
      <c r="I71" s="194" t="str" cm="1">
        <f t="array" ref="I71">INDEX($B$5:$I$29,INT((ROW(I71)-49)/2)+1,COLUMN(I71)-1)</f>
        <v>Dmnl</v>
      </c>
    </row>
    <row r="72" spans="2:9" ht="29.25" customHeight="1" x14ac:dyDescent="0.4">
      <c r="B72" s="209" t="str" cm="1">
        <f t="array" ref="B72">IF(MOD(ROW(B72)-49,2)=1,INDEX($J$5:$J$29,INT((ROW(B72)-49)/2)+1),"")</f>
        <v>The pace and final state of e-bike uptake is uncertain. The model varies between two discrete scenarios, both starting from the current level of adoption, but continuing at different speeds and until different final states (see Appendix )</v>
      </c>
      <c r="C72" s="209"/>
      <c r="D72" s="209"/>
      <c r="E72" s="209"/>
      <c r="F72" s="209"/>
      <c r="G72" s="209"/>
      <c r="H72" s="209"/>
      <c r="I72" s="209"/>
    </row>
    <row r="73" spans="2:9" x14ac:dyDescent="0.4">
      <c r="B73" s="194" t="str" cm="1">
        <f t="array" ref="B73">INDEX($B$5:$I$29,INT((ROW(B73)-49)/2)+1,COLUMN(B73)-1)</f>
        <v>Mode choice</v>
      </c>
      <c r="C73" s="194" t="str" cm="1">
        <f t="array" ref="C73">INDEX($B$5:$I$29,INT((ROW(C73)-49)/2)+1,COLUMN(C73)-1)</f>
        <v>Mode choice</v>
      </c>
      <c r="D73" s="194" t="str" cm="1">
        <f t="array" ref="D73">INDEX($B$5:$I$29,INT((ROW(D73)-49)/2)+1,COLUMN(D73)-1)</f>
        <v>effect sensitivity</v>
      </c>
      <c r="E73" s="194" t="str" cm="1">
        <f t="array" ref="E73">INDEX($B$5:$I$29,INT((ROW(E73)-49)/2)+1,COLUMN(E73)-1)</f>
        <v>CAR NETWORK DISTANCE SENSITIVITY</v>
      </c>
      <c r="F73" s="194" cm="1">
        <f t="array" ref="F73">INDEX($B$5:$I$29,INT((ROW(F73)-49)/2)+1,COLUMN(F73)-1)</f>
        <v>0.5</v>
      </c>
      <c r="G73" s="194" cm="1">
        <f t="array" ref="G73">INDEX($B$5:$I$29,INT((ROW(G73)-49)/2)+1,COLUMN(G73)-1)</f>
        <v>2</v>
      </c>
      <c r="H73" s="194" cm="1">
        <f t="array" ref="H73">INDEX($B$5:$I$29,INT((ROW(H73)-49)/2)+1,COLUMN(H73)-1)</f>
        <v>0</v>
      </c>
      <c r="I73" s="194" t="str" cm="1">
        <f t="array" ref="I73">INDEX($B$5:$I$29,INT((ROW(I73)-49)/2)+1,COLUMN(I73)-1)</f>
        <v>Dmnl</v>
      </c>
    </row>
    <row r="74" spans="2:9" ht="43.85" customHeight="1" x14ac:dyDescent="0.4">
      <c r="B74" s="209" t="str" cm="1">
        <f t="array" ref="B74">IF(MOD(ROW(B74)-49,2)=1,INDEX($J$5:$J$29,INT((ROW(B74)-49)/2)+1),"")</f>
        <v>The base assumption is for the car network distance to euclidian distance ratio to increase to 1.8 when only half of the network is car-accessible, and decrease to 1.1 if average car lanes per road becomes 4 (see Appendix ). Since this effect size is uncertain, it is varied by X^y if X is the normalized effect from the base assumption, and y varies between 0.5 and 2.</v>
      </c>
      <c r="C74" s="209"/>
      <c r="D74" s="209"/>
      <c r="E74" s="209"/>
      <c r="F74" s="209"/>
      <c r="G74" s="209"/>
      <c r="H74" s="209"/>
      <c r="I74" s="209"/>
    </row>
    <row r="75" spans="2:9" x14ac:dyDescent="0.4">
      <c r="B75" s="194" t="str" cm="1">
        <f t="array" ref="B75">INDEX($B$5:$I$29,INT((ROW(B75)-49)/2)+1,COLUMN(B75)-1)</f>
        <v>Mode choice</v>
      </c>
      <c r="C75" s="194" t="str" cm="1">
        <f t="array" ref="C75">INDEX($B$5:$I$29,INT((ROW(C75)-49)/2)+1,COLUMN(C75)-1)</f>
        <v>Mode choice</v>
      </c>
      <c r="D75" s="194" t="str" cm="1">
        <f t="array" ref="D75">INDEX($B$5:$I$29,INT((ROW(D75)-49)/2)+1,COLUMN(D75)-1)</f>
        <v>effect sensitivity</v>
      </c>
      <c r="E75" s="194" t="str" cm="1">
        <f t="array" ref="E75">INDEX($B$5:$I$29,INT((ROW(E75)-49)/2)+1,COLUMN(E75)-1)</f>
        <v>CYCLING NETWORK DISTANCE SENSITIVITY</v>
      </c>
      <c r="F75" s="194" cm="1">
        <f t="array" ref="F75">INDEX($B$5:$I$29,INT((ROW(F75)-49)/2)+1,COLUMN(F75)-1)</f>
        <v>0.5</v>
      </c>
      <c r="G75" s="194" cm="1">
        <f t="array" ref="G75">INDEX($B$5:$I$29,INT((ROW(G75)-49)/2)+1,COLUMN(G75)-1)</f>
        <v>2</v>
      </c>
      <c r="H75" s="194" cm="1">
        <f t="array" ref="H75">INDEX($B$5:$I$29,INT((ROW(H75)-49)/2)+1,COLUMN(H75)-1)</f>
        <v>0</v>
      </c>
      <c r="I75" s="194" t="str" cm="1">
        <f t="array" ref="I75">INDEX($B$5:$I$29,INT((ROW(I75)-49)/2)+1,COLUMN(I75)-1)</f>
        <v>Dmnl</v>
      </c>
    </row>
    <row r="76" spans="2:9" ht="29.25" customHeight="1" x14ac:dyDescent="0.4">
      <c r="B76" s="209" t="str" cm="1">
        <f t="array" ref="B76">IF(MOD(ROW(B76)-49,2)=1,INDEX($J$5:$J$29,INT((ROW(B76)-49)/2)+1),"")</f>
        <v xml:space="preserve">The base assumption is for distance to euclidian distance ratio to double when zero roads have bike lanes, and to fall to 1.1 when all roads have bike lanes (see Appendix ). Since this effect size is uncertain, it is varied by X^y if X is the normalized effect from the base assumption, and y varies between 0.5 and 2. </v>
      </c>
      <c r="C76" s="209"/>
      <c r="D76" s="209"/>
      <c r="E76" s="209"/>
      <c r="F76" s="209"/>
      <c r="G76" s="209"/>
      <c r="H76" s="209"/>
      <c r="I76" s="209"/>
    </row>
    <row r="77" spans="2:9" x14ac:dyDescent="0.4">
      <c r="B77" s="194" t="str" cm="1">
        <f t="array" ref="B77">INDEX($B$5:$I$29,INT((ROW(B77)-49)/2)+1,COLUMN(B77)-1)</f>
        <v>Mode choice</v>
      </c>
      <c r="C77" s="194" t="str" cm="1">
        <f t="array" ref="C77">INDEX($B$5:$I$29,INT((ROW(C77)-49)/2)+1,COLUMN(C77)-1)</f>
        <v>Mode choice</v>
      </c>
      <c r="D77" s="194" t="str" cm="1">
        <f t="array" ref="D77">INDEX($B$5:$I$29,INT((ROW(D77)-49)/2)+1,COLUMN(D77)-1)</f>
        <v>effect sensitivity</v>
      </c>
      <c r="E77" s="194" t="str" cm="1">
        <f t="array" ref="E77">INDEX($B$5:$I$29,INT((ROW(E77)-49)/2)+1,COLUMN(E77)-1)</f>
        <v>SUBJECTIVE CYCLING TIME SENSITIVITY</v>
      </c>
      <c r="F77" s="194" cm="1">
        <f t="array" ref="F77">INDEX($B$5:$I$29,INT((ROW(F77)-49)/2)+1,COLUMN(F77)-1)</f>
        <v>0.5</v>
      </c>
      <c r="G77" s="194" cm="1">
        <f t="array" ref="G77">INDEX($B$5:$I$29,INT((ROW(G77)-49)/2)+1,COLUMN(G77)-1)</f>
        <v>2</v>
      </c>
      <c r="H77" s="194" cm="1">
        <f t="array" ref="H77">INDEX($B$5:$I$29,INT((ROW(H77)-49)/2)+1,COLUMN(H77)-1)</f>
        <v>0</v>
      </c>
      <c r="I77" s="194" t="str" cm="1">
        <f t="array" ref="I77">INDEX($B$5:$I$29,INT((ROW(I77)-49)/2)+1,COLUMN(I77)-1)</f>
        <v>Dmnl</v>
      </c>
    </row>
    <row r="78" spans="2:9" ht="44.6" customHeight="1" x14ac:dyDescent="0.4">
      <c r="B78" s="209" t="str" cm="1">
        <f t="array" ref="B78">IF(MOD(ROW(B78)-49,2)=1,INDEX($J$5:$J$29,INT((ROW(B78)-49)/2)+1),"")</f>
        <v>The base assumption is for subjective cost of cycling to vary by a maximum of 0.8 Minutes per Minute (In the most extreme scenario, where three additive effects stack up. This is not plausible and does not occur in any of the experiments.) (see Appendix ). Since this effect size is uncertain, it is varied by X*y if X is the subjective value factor, and y varies between 0.5 and 1.5.</v>
      </c>
      <c r="C78" s="209"/>
      <c r="D78" s="209"/>
      <c r="E78" s="209"/>
      <c r="F78" s="209"/>
      <c r="G78" s="209"/>
      <c r="H78" s="209"/>
      <c r="I78" s="209"/>
    </row>
    <row r="79" spans="2:9" x14ac:dyDescent="0.4">
      <c r="B79" s="194" t="str" cm="1">
        <f t="array" ref="B79">INDEX($B$5:$I$29,INT((ROW(B79)-49)/2)+1,COLUMN(B79)-1)</f>
        <v>Mode choice</v>
      </c>
      <c r="C79" s="194" t="str" cm="1">
        <f t="array" ref="C79">INDEX($B$5:$I$29,INT((ROW(C79)-49)/2)+1,COLUMN(C79)-1)</f>
        <v>Mode choice</v>
      </c>
      <c r="D79" s="194" t="str" cm="1">
        <f t="array" ref="D79">INDEX($B$5:$I$29,INT((ROW(D79)-49)/2)+1,COLUMN(D79)-1)</f>
        <v>effect sensitivity</v>
      </c>
      <c r="E79" s="194" t="str" cm="1">
        <f t="array" ref="E79">INDEX($B$5:$I$29,INT((ROW(E79)-49)/2)+1,COLUMN(E79)-1)</f>
        <v>PARKING SEARCH AND EGRESS SENSITIVITY</v>
      </c>
      <c r="F79" s="194" cm="1">
        <f t="array" ref="F79">INDEX($B$5:$I$29,INT((ROW(F79)-49)/2)+1,COLUMN(F79)-1)</f>
        <v>0.5</v>
      </c>
      <c r="G79" s="194" cm="1">
        <f t="array" ref="G79">INDEX($B$5:$I$29,INT((ROW(G79)-49)/2)+1,COLUMN(G79)-1)</f>
        <v>2</v>
      </c>
      <c r="H79" s="194" cm="1">
        <f t="array" ref="H79">INDEX($B$5:$I$29,INT((ROW(H79)-49)/2)+1,COLUMN(H79)-1)</f>
        <v>0</v>
      </c>
      <c r="I79" s="194" t="str" cm="1">
        <f t="array" ref="I79">INDEX($B$5:$I$29,INT((ROW(I79)-49)/2)+1,COLUMN(I79)-1)</f>
        <v>Dmnl</v>
      </c>
    </row>
    <row r="80" spans="2:9" ht="29.25" customHeight="1" x14ac:dyDescent="0.4">
      <c r="B80" s="209" t="str" cm="1">
        <f t="array" ref="B80">IF(MOD(ROW(B80)-49,2)=1,INDEX($J$5:$J$29,INT((ROW(B80)-49)/2)+1),"")</f>
        <v>The base assumption is for parking search and egress time to vary between  5 and 14 minutes depending on city parking per city car (see Appendix ). Since this effect size is uncertain, it is varied by X^y if X is the normalized effect from the base assumption, and y varies between 0.5 and 2.</v>
      </c>
      <c r="C80" s="209"/>
      <c r="D80" s="209"/>
      <c r="E80" s="209"/>
      <c r="F80" s="209"/>
      <c r="G80" s="209"/>
      <c r="H80" s="209"/>
      <c r="I80" s="209"/>
    </row>
    <row r="81" spans="2:9" x14ac:dyDescent="0.4">
      <c r="B81" s="194" t="str" cm="1">
        <f t="array" ref="B81">INDEX($B$5:$I$29,INT((ROW(B81)-49)/2)+1,COLUMN(B81)-1)</f>
        <v>Mode choice</v>
      </c>
      <c r="C81" s="194" t="str" cm="1">
        <f t="array" ref="C81">INDEX($B$5:$I$29,INT((ROW(C81)-49)/2)+1,COLUMN(C81)-1)</f>
        <v>Mode choice</v>
      </c>
      <c r="D81" s="194" t="str" cm="1">
        <f t="array" ref="D81">INDEX($B$5:$I$29,INT((ROW(D81)-49)/2)+1,COLUMN(D81)-1)</f>
        <v>constant</v>
      </c>
      <c r="E81" s="194" t="str" cm="1">
        <f t="array" ref="E81">INDEX($B$5:$I$29,INT((ROW(E81)-49)/2)+1,COLUMN(E81)-1)</f>
        <v>PERCEPTION TIME</v>
      </c>
      <c r="F81" s="194" cm="1">
        <f t="array" ref="F81">INDEX($B$5:$I$29,INT((ROW(F81)-49)/2)+1,COLUMN(F81)-1)</f>
        <v>1</v>
      </c>
      <c r="G81" s="194" cm="1">
        <f t="array" ref="G81">INDEX($B$5:$I$29,INT((ROW(G81)-49)/2)+1,COLUMN(G81)-1)</f>
        <v>5</v>
      </c>
      <c r="H81" s="194" cm="1">
        <f t="array" ref="H81">INDEX($B$5:$I$29,INT((ROW(H81)-49)/2)+1,COLUMN(H81)-1)</f>
        <v>0</v>
      </c>
      <c r="I81" s="194" t="str" cm="1">
        <f t="array" ref="I81">INDEX($B$5:$I$29,INT((ROW(I81)-49)/2)+1,COLUMN(I81)-1)</f>
        <v>Year</v>
      </c>
    </row>
    <row r="82" spans="2:9" ht="29.25" customHeight="1" x14ac:dyDescent="0.4">
      <c r="B82" s="209" t="str" cm="1">
        <f t="array" ref="B82">IF(MOD(ROW(B82)-49,2)=1,INDEX($J$5:$J$29,INT((ROW(B82)-49)/2)+1),"")</f>
        <v>Perception time determines how fast travel behavior adapts to changes in relative attractiveness, by setting a delay to changes in perceived attractiveness of modes resulting from changes in subjective travel time. A wide range is taken between 1 and 5 years.</v>
      </c>
      <c r="C82" s="209"/>
      <c r="D82" s="209"/>
      <c r="E82" s="209"/>
      <c r="F82" s="209"/>
      <c r="G82" s="209"/>
      <c r="H82" s="209"/>
      <c r="I82" s="209"/>
    </row>
    <row r="83" spans="2:9" x14ac:dyDescent="0.4">
      <c r="B83" s="194" t="str" cm="1">
        <f t="array" ref="B83">INDEX($B$5:$I$29,INT((ROW(B83)-49)/2)+1,COLUMN(B83)-1)</f>
        <v>Mode choice</v>
      </c>
      <c r="C83" s="194" t="str" cm="1">
        <f t="array" ref="C83">INDEX($B$5:$I$29,INT((ROW(C83)-49)/2)+1,COLUMN(C83)-1)</f>
        <v>Data</v>
      </c>
      <c r="D83" s="194" t="str" cm="1">
        <f t="array" ref="D83">INDEX($B$5:$I$29,INT((ROW(D83)-49)/2)+1,COLUMN(D83)-1)</f>
        <v>effect sensitivity</v>
      </c>
      <c r="E83" s="194" t="str" cm="1">
        <f t="array" ref="E83">INDEX($B$5:$I$29,INT((ROW(E83)-49)/2)+1,COLUMN(E83)-1)</f>
        <v>SENSITIVITY TO SIDEWALK DATA UNCERTAINTY</v>
      </c>
      <c r="F83" s="194" cm="1">
        <f t="array" ref="F83">INDEX($B$5:$I$29,INT((ROW(F83)-49)/2)+1,COLUMN(F83)-1)</f>
        <v>0.5</v>
      </c>
      <c r="G83" s="194" cm="1">
        <f t="array" ref="G83">INDEX($B$5:$I$29,INT((ROW(G83)-49)/2)+1,COLUMN(G83)-1)</f>
        <v>2</v>
      </c>
      <c r="H83" s="194" cm="1">
        <f t="array" ref="H83">INDEX($B$5:$I$29,INT((ROW(H83)-49)/2)+1,COLUMN(H83)-1)</f>
        <v>0</v>
      </c>
      <c r="I83" s="194" t="str" cm="1">
        <f t="array" ref="I83">INDEX($B$5:$I$29,INT((ROW(I83)-49)/2)+1,COLUMN(I83)-1)</f>
        <v>Dmnl</v>
      </c>
    </row>
    <row r="84" spans="2:9" ht="43.85" customHeight="1" x14ac:dyDescent="0.4">
      <c r="B84" s="209" t="str" cm="1">
        <f t="array" ref="B84">IF(MOD(ROW(B84)-49,2)=1,INDEX($J$5:$J$29,INT((ROW(B84)-49)/2)+1),"")</f>
        <v>The base assumption is for PT access egress time to increase by 400% if no sidewalks existed, and to halve when pedestrian space were to double (see Appendix ). Since this effect size is uncertain, and because there is uncertainty in the estimated share of pedestrian space due to data gaps, the effect is varied by X^y if X is the normalized effect from the base assumption, and y varies between 0.5 and 2.</v>
      </c>
      <c r="C84" s="209"/>
      <c r="D84" s="209"/>
      <c r="E84" s="209"/>
      <c r="F84" s="209"/>
      <c r="G84" s="209"/>
      <c r="H84" s="209"/>
      <c r="I84" s="209"/>
    </row>
    <row r="85" spans="2:9" x14ac:dyDescent="0.4">
      <c r="B85" s="194" t="str" cm="1">
        <f t="array" ref="B85">INDEX($B$5:$I$29,INT((ROW(B85)-49)/2)+1,COLUMN(B85)-1)</f>
        <v>Mode choice</v>
      </c>
      <c r="C85" s="194" t="str" cm="1">
        <f t="array" ref="C85">INDEX($B$5:$I$29,INT((ROW(C85)-49)/2)+1,COLUMN(C85)-1)</f>
        <v>Data</v>
      </c>
      <c r="D85" s="194" t="str" cm="1">
        <f t="array" ref="D85">INDEX($B$5:$I$29,INT((ROW(D85)-49)/2)+1,COLUMN(D85)-1)</f>
        <v>effect sensitivity</v>
      </c>
      <c r="E85" s="194" t="str" cm="1">
        <f t="array" ref="E85">INDEX($B$5:$I$29,INT((ROW(E85)-49)/2)+1,COLUMN(E85)-1)</f>
        <v>SENSITIVITY TO CAR LANE DATA UNCERTAINTY</v>
      </c>
      <c r="F85" s="194" cm="1">
        <f t="array" ref="F85">INDEX($B$5:$I$29,INT((ROW(F85)-49)/2)+1,COLUMN(F85)-1)</f>
        <v>0.5</v>
      </c>
      <c r="G85" s="194" cm="1">
        <f t="array" ref="G85">INDEX($B$5:$I$29,INT((ROW(G85)-49)/2)+1,COLUMN(G85)-1)</f>
        <v>2</v>
      </c>
      <c r="H85" s="194" cm="1">
        <f t="array" ref="H85">INDEX($B$5:$I$29,INT((ROW(H85)-49)/2)+1,COLUMN(H85)-1)</f>
        <v>0</v>
      </c>
      <c r="I85" s="194" t="str" cm="1">
        <f t="array" ref="I85">INDEX($B$5:$I$29,INT((ROW(I85)-49)/2)+1,COLUMN(I85)-1)</f>
        <v>Dmnl</v>
      </c>
    </row>
    <row r="86" spans="2:9" ht="29.25" customHeight="1" x14ac:dyDescent="0.4">
      <c r="B86" s="209" t="str" cm="1">
        <f t="array" ref="B86">IF(MOD(ROW(B86)-49,2)=1,INDEX($J$5:$J$29,INT((ROW(B86)-49)/2)+1),"")</f>
        <v>The base assumption is for subjective cost factor of cycling time to fall by 0.1 or increase by 0.2 Minutes/Minute depending on whether theaverage road is oneway or four-lane (see Appendix ). Since this effect size is uncertain, and because there is uncertainty in the estimated share of road space due to data gaps, the effect is varied by X^y if X is the normalized effect from the base assumption, and y varies between 0.5 and 2.</v>
      </c>
      <c r="C86" s="209"/>
      <c r="D86" s="209"/>
      <c r="E86" s="209"/>
      <c r="F86" s="209"/>
      <c r="G86" s="209"/>
      <c r="H86" s="209"/>
      <c r="I86" s="209"/>
    </row>
    <row r="87" spans="2:9" x14ac:dyDescent="0.4">
      <c r="B87" s="194" t="str" cm="1">
        <f t="array" ref="B87">INDEX($B$5:$I$29,INT((ROW(B87)-49)/2)+1,COLUMN(B87)-1)</f>
        <v>Mode choice</v>
      </c>
      <c r="C87" s="194" t="str" cm="1">
        <f t="array" ref="C87">INDEX($B$5:$I$29,INT((ROW(C87)-49)/2)+1,COLUMN(C87)-1)</f>
        <v>Future policy</v>
      </c>
      <c r="D87" s="194" t="str" cm="1">
        <f t="array" ref="D87">INDEX($B$5:$I$29,INT((ROW(D87)-49)/2)+1,COLUMN(D87)-1)</f>
        <v>constant</v>
      </c>
      <c r="E87" s="194" t="str" cm="1">
        <f t="array" ref="E87">INDEX($B$5:$I$29,INT((ROW(E87)-49)/2)+1,COLUMN(E87)-1)</f>
        <v>NET ADDED PT CAPACITY PER YEAR</v>
      </c>
      <c r="F87" s="194" cm="1">
        <f t="array" ref="F87">INDEX($B$5:$I$29,INT((ROW(F87)-49)/2)+1,COLUMN(F87)-1)</f>
        <v>5.0000000000000001E-4</v>
      </c>
      <c r="G87" s="194" cm="1">
        <f t="array" ref="G87">INDEX($B$5:$I$29,INT((ROW(G87)-49)/2)+1,COLUMN(G87)-1)</f>
        <v>1.5E-3</v>
      </c>
      <c r="H87" s="194" cm="1">
        <f t="array" ref="H87">INDEX($B$5:$I$29,INT((ROW(H87)-49)/2)+1,COLUMN(H87)-1)</f>
        <v>0</v>
      </c>
      <c r="I87" s="194" t="str" cm="1">
        <f t="array" ref="I87">INDEX($B$5:$I$29,INT((ROW(I87)-49)/2)+1,COLUMN(I87)-1)</f>
        <v>Dmnl/Year</v>
      </c>
    </row>
    <row r="88" spans="2:9" ht="29.25" customHeight="1" x14ac:dyDescent="0.4">
      <c r="B88" s="209" t="str" cm="1">
        <f t="array" ref="B88">IF(MOD(ROW(B88)-49,2)=1,INDEX($J$5:$J$29,INT((ROW(B88)-49)/2)+1),"")</f>
        <v>The metro system is being expanded and automation increases the frequency and thus capacity of the metro system. Given the size of the metro system, and the pace of public transport infrastructure construction being in the order of decades, an order of magnitude of 1% per decade is plausible. Due to uncertainty, the variable is varied between 0.5% and 1.5% per decade</v>
      </c>
      <c r="C88" s="209"/>
      <c r="D88" s="209"/>
      <c r="E88" s="209"/>
      <c r="F88" s="209"/>
      <c r="G88" s="209"/>
      <c r="H88" s="209"/>
      <c r="I88" s="209"/>
    </row>
    <row r="89" spans="2:9" x14ac:dyDescent="0.4">
      <c r="B89" s="194" t="str" cm="1">
        <f t="array" ref="B89">INDEX($B$5:$I$29,INT((ROW(B89)-49)/2)+1,COLUMN(B89)-1)</f>
        <v>Destination choice</v>
      </c>
      <c r="C89" s="194" t="str" cm="1">
        <f t="array" ref="C89">INDEX($B$5:$I$29,INT((ROW(C89)-49)/2)+1,COLUMN(C89)-1)</f>
        <v>Future policy, Destination choice</v>
      </c>
      <c r="D89" s="194" t="str" cm="1">
        <f t="array" ref="D89">INDEX($B$5:$I$29,INT((ROW(D89)-49)/2)+1,COLUMN(D89)-1)</f>
        <v>constant</v>
      </c>
      <c r="E89" s="194" t="str" cm="1">
        <f t="array" ref="E89">INDEX($B$5:$I$29,INT((ROW(E89)-49)/2)+1,COLUMN(E89)-1)</f>
        <v>DESTINATION SHIFT RATE RING</v>
      </c>
      <c r="F89" s="194" cm="1">
        <f t="array" ref="F89">INDEX($B$5:$I$29,INT((ROW(F89)-49)/2)+1,COLUMN(F89)-1)</f>
        <v>1E-3</v>
      </c>
      <c r="G89" s="194" cm="1">
        <f t="array" ref="G89">INDEX($B$5:$I$29,INT((ROW(G89)-49)/2)+1,COLUMN(G89)-1)</f>
        <v>0.01</v>
      </c>
      <c r="H89" s="194" cm="1">
        <f t="array" ref="H89">INDEX($B$5:$I$29,INT((ROW(H89)-49)/2)+1,COLUMN(H89)-1)</f>
        <v>0</v>
      </c>
      <c r="I89" s="194" t="str" cm="1">
        <f t="array" ref="I89">INDEX($B$5:$I$29,INT((ROW(I89)-49)/2)+1,COLUMN(I89)-1)</f>
        <v>Dmnl/Year</v>
      </c>
    </row>
    <row r="90" spans="2:9" ht="29.25" customHeight="1" x14ac:dyDescent="0.4">
      <c r="B90" s="209" t="str" cm="1">
        <f t="array" ref="B90">IF(MOD(ROW(B90)-49,2)=1,INDEX($J$5:$J$29,INT((ROW(B90)-49)/2)+1),"")</f>
        <v>Destination choice is expected to change such that people travel less to the city, but it is uncertain to what extent. Change rates between 1% and 10% per decade are plausible, although further research is needed to refine this assumption</v>
      </c>
      <c r="C90" s="209"/>
      <c r="D90" s="209"/>
      <c r="E90" s="209"/>
      <c r="F90" s="209"/>
      <c r="G90" s="209"/>
      <c r="H90" s="209"/>
      <c r="I90" s="209"/>
    </row>
    <row r="91" spans="2:9" x14ac:dyDescent="0.4">
      <c r="B91" s="194" t="str" cm="1">
        <f t="array" ref="B91">INDEX($B$5:$I$29,INT((ROW(B91)-49)/2)+1,COLUMN(B91)-1)</f>
        <v>Destination choice</v>
      </c>
      <c r="C91" s="194" t="str" cm="1">
        <f t="array" ref="C91">INDEX($B$5:$I$29,INT((ROW(C91)-49)/2)+1,COLUMN(C91)-1)</f>
        <v>Future policy, Destination choice</v>
      </c>
      <c r="D91" s="194" t="str" cm="1">
        <f t="array" ref="D91">INDEX($B$5:$I$29,INT((ROW(D91)-49)/2)+1,COLUMN(D91)-1)</f>
        <v>constant</v>
      </c>
      <c r="E91" s="194" t="str" cm="1">
        <f t="array" ref="E91">INDEX($B$5:$I$29,INT((ROW(E91)-49)/2)+1,COLUMN(E91)-1)</f>
        <v>DESTINATION SHIFT RATE CITY</v>
      </c>
      <c r="F91" s="194" cm="1">
        <f t="array" ref="F91">INDEX($B$5:$I$29,INT((ROW(F91)-49)/2)+1,COLUMN(F91)-1)</f>
        <v>1E-3</v>
      </c>
      <c r="G91" s="194" cm="1">
        <f t="array" ref="G91">INDEX($B$5:$I$29,INT((ROW(G91)-49)/2)+1,COLUMN(G91)-1)</f>
        <v>5.0000000000000001E-3</v>
      </c>
      <c r="H91" s="194" cm="1">
        <f t="array" ref="H91">INDEX($B$5:$I$29,INT((ROW(H91)-49)/2)+1,COLUMN(H91)-1)</f>
        <v>0</v>
      </c>
      <c r="I91" s="194" t="str" cm="1">
        <f t="array" ref="I91">INDEX($B$5:$I$29,INT((ROW(I91)-49)/2)+1,COLUMN(I91)-1)</f>
        <v>Dmnl/Year</v>
      </c>
    </row>
    <row r="92" spans="2:9" ht="29.25" customHeight="1" thickBot="1" x14ac:dyDescent="0.45">
      <c r="B92" s="210" t="str" cm="1">
        <f t="array" ref="B92">IF(MOD(ROW(B92)-49,2)=1,INDEX($J$5:$J$29,INT((ROW(B92)-49)/2)+1),"")</f>
        <v>Destination choice is expected to change such that people travel shorter distances within the city, but it is uncertain to what extent. Change rates between 1% and 5% per decade are plausible, although further research is needed to refine this assumption</v>
      </c>
      <c r="C92" s="210"/>
      <c r="D92" s="210"/>
      <c r="E92" s="210"/>
      <c r="F92" s="210"/>
      <c r="G92" s="210"/>
      <c r="H92" s="210"/>
      <c r="I92" s="210"/>
    </row>
  </sheetData>
  <mergeCells count="22">
    <mergeCell ref="B92:I92"/>
    <mergeCell ref="B90:I90"/>
    <mergeCell ref="B50:I50"/>
    <mergeCell ref="B52:I52"/>
    <mergeCell ref="B54:I54"/>
    <mergeCell ref="B56:I56"/>
    <mergeCell ref="B58:I58"/>
    <mergeCell ref="B60:I60"/>
    <mergeCell ref="B62:I62"/>
    <mergeCell ref="B64:I64"/>
    <mergeCell ref="B88:I88"/>
    <mergeCell ref="B66:I66"/>
    <mergeCell ref="B68:I68"/>
    <mergeCell ref="B70:I70"/>
    <mergeCell ref="B72:I72"/>
    <mergeCell ref="B74:I74"/>
    <mergeCell ref="B76:I76"/>
    <mergeCell ref="B78:I78"/>
    <mergeCell ref="B80:I80"/>
    <mergeCell ref="B82:I82"/>
    <mergeCell ref="B84:I84"/>
    <mergeCell ref="B86:I86"/>
  </mergeCell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A9C9E-801B-4BE0-B9C6-9DCAA414C94C}">
  <sheetPr codeName="Sheet7"/>
  <dimension ref="B1:Q188"/>
  <sheetViews>
    <sheetView topLeftCell="A85" zoomScale="55" zoomScaleNormal="55" workbookViewId="0">
      <selection activeCell="M128" sqref="M128"/>
    </sheetView>
  </sheetViews>
  <sheetFormatPr defaultRowHeight="14.6" x14ac:dyDescent="0.4"/>
  <cols>
    <col min="12" max="12" width="55.765625" bestFit="1" customWidth="1"/>
  </cols>
  <sheetData>
    <row r="1" spans="2:15" x14ac:dyDescent="0.4">
      <c r="B1" s="196" t="s">
        <v>511</v>
      </c>
      <c r="C1" s="196"/>
      <c r="D1" s="54"/>
    </row>
    <row r="2" spans="2:15" x14ac:dyDescent="0.4">
      <c r="B2" s="54"/>
      <c r="C2" s="54" t="s">
        <v>233</v>
      </c>
      <c r="D2" s="54" t="s">
        <v>234</v>
      </c>
    </row>
    <row r="3" spans="2:15" x14ac:dyDescent="0.4">
      <c r="B3" t="s">
        <v>512</v>
      </c>
      <c r="C3" s="10">
        <f>old!$M$10+old!$M$13+old!$M$15</f>
        <v>1861789.7476054491</v>
      </c>
      <c r="D3" s="10">
        <f>old!$M$12+old!$M$14+old!$M$17</f>
        <v>2094628.6929981175</v>
      </c>
      <c r="F3">
        <f>C3/C4</f>
        <v>1.7352672886366876</v>
      </c>
      <c r="G3">
        <f>D3/D4</f>
        <v>1.0128033138336567</v>
      </c>
    </row>
    <row r="4" spans="2:15" x14ac:dyDescent="0.4">
      <c r="B4" t="s">
        <v>513</v>
      </c>
      <c r="C4" s="10">
        <f>SUM(old!$M$10:$M$12)</f>
        <v>1072912.3748239176</v>
      </c>
      <c r="D4" s="10">
        <f>SUM(old!$M$15:$M$17)</f>
        <v>2068149.5255673504</v>
      </c>
    </row>
    <row r="5" spans="2:15" x14ac:dyDescent="0.4">
      <c r="C5" s="1" t="s">
        <v>337</v>
      </c>
      <c r="D5" s="10"/>
    </row>
    <row r="6" spans="2:15" x14ac:dyDescent="0.4">
      <c r="B6" t="s">
        <v>511</v>
      </c>
      <c r="C6" s="17">
        <f>ABS((C3/C4)/(D3/D4)-1)</f>
        <v>0.7133309744696279</v>
      </c>
      <c r="D6" s="3"/>
    </row>
    <row r="8" spans="2:15" x14ac:dyDescent="0.4">
      <c r="B8" s="1" t="s">
        <v>191</v>
      </c>
      <c r="C8" s="1"/>
      <c r="D8" s="1"/>
      <c r="E8" s="1"/>
      <c r="F8" s="1"/>
      <c r="G8" s="1"/>
      <c r="H8" s="1"/>
      <c r="L8" s="54" t="s">
        <v>136</v>
      </c>
      <c r="M8" s="54"/>
      <c r="N8" s="54"/>
    </row>
    <row r="9" spans="2:15" x14ac:dyDescent="0.4">
      <c r="C9" t="s">
        <v>198</v>
      </c>
      <c r="D9" t="s">
        <v>184</v>
      </c>
      <c r="E9" t="s">
        <v>185</v>
      </c>
      <c r="F9" t="s">
        <v>199</v>
      </c>
      <c r="G9" t="s">
        <v>200</v>
      </c>
      <c r="H9" t="s">
        <v>193</v>
      </c>
      <c r="L9" t="s">
        <v>126</v>
      </c>
      <c r="M9" t="s">
        <v>127</v>
      </c>
    </row>
    <row r="10" spans="2:15" x14ac:dyDescent="0.4">
      <c r="B10" s="29" t="s">
        <v>154</v>
      </c>
      <c r="C10" s="9">
        <v>4</v>
      </c>
      <c r="D10" s="23">
        <f>IF(C16&gt;0.5,C18/C17,C18*C17)</f>
        <v>0.17161904504480943</v>
      </c>
      <c r="E10" s="23">
        <f>IF(C16&gt;0.5,C19/C17,C19*C17)</f>
        <v>0.17161904504480943</v>
      </c>
      <c r="F10">
        <v>2.5</v>
      </c>
      <c r="G10" s="9">
        <v>0</v>
      </c>
      <c r="H10" s="9">
        <f>C10*(D10*$C$20+E10*$C$21)+G10*$C$20+F10</f>
        <v>3.1209414613077113</v>
      </c>
      <c r="L10" t="s">
        <v>128</v>
      </c>
      <c r="M10" s="10">
        <v>738555.45805603836</v>
      </c>
      <c r="N10" s="10"/>
      <c r="O10" s="15">
        <f>M10/SUM($M$10:$M$13,$M$15)</f>
        <v>0.3362960543743036</v>
      </c>
    </row>
    <row r="11" spans="2:15" x14ac:dyDescent="0.4">
      <c r="B11" s="29" t="s">
        <v>155</v>
      </c>
      <c r="C11" s="9">
        <v>4</v>
      </c>
      <c r="D11" s="23">
        <f>IF(C16&gt;0.5,C18*C17,C18/C17)</f>
        <v>0.9322974612650029</v>
      </c>
      <c r="E11" s="23">
        <f>IF(C16&gt;0.5,C19*C17,C19/C17)</f>
        <v>0.9322974612650029</v>
      </c>
      <c r="F11">
        <v>2.5</v>
      </c>
      <c r="G11" s="9">
        <v>2</v>
      </c>
      <c r="H11" s="9">
        <f>C11*(D11*$C$20+E11*$C$21)+G11*$C$20+F11</f>
        <v>6.2693626522141876</v>
      </c>
      <c r="L11" t="s">
        <v>129</v>
      </c>
      <c r="M11" s="10">
        <v>73656.090697210733</v>
      </c>
      <c r="N11" s="10"/>
      <c r="O11" s="15">
        <f>M11/SUM($M$10:$M$13,$M$15)</f>
        <v>3.353878495097163E-2</v>
      </c>
    </row>
    <row r="12" spans="2:15" x14ac:dyDescent="0.4">
      <c r="B12" s="29" t="s">
        <v>159</v>
      </c>
      <c r="C12" s="9">
        <v>8.5</v>
      </c>
      <c r="D12" s="23">
        <f>D10</f>
        <v>0.17161904504480943</v>
      </c>
      <c r="E12" s="23">
        <f>E10</f>
        <v>0.17161904504480943</v>
      </c>
      <c r="F12" s="9">
        <v>4</v>
      </c>
      <c r="G12" s="9">
        <f>G10</f>
        <v>0</v>
      </c>
      <c r="H12" s="9">
        <f>C12*(D12*$C$20+E12*$C$21)+G12*$C$20+F12</f>
        <v>5.3195006052788871</v>
      </c>
      <c r="L12" t="s">
        <v>130</v>
      </c>
      <c r="M12" s="10">
        <v>260700.82607066841</v>
      </c>
      <c r="N12" s="10"/>
      <c r="O12" s="15">
        <f>M12/SUM($M$10:$M$13,$M$15)</f>
        <v>0.1187082949876936</v>
      </c>
    </row>
    <row r="13" spans="2:15" x14ac:dyDescent="0.4">
      <c r="B13" s="29" t="s">
        <v>156</v>
      </c>
      <c r="C13" s="9">
        <v>8.5</v>
      </c>
      <c r="D13" s="23">
        <f>D11</f>
        <v>0.9322974612650029</v>
      </c>
      <c r="E13" s="23">
        <f>E11</f>
        <v>0.9322974612650029</v>
      </c>
      <c r="F13" s="9">
        <v>4</v>
      </c>
      <c r="G13" s="9">
        <v>2</v>
      </c>
      <c r="H13" s="9">
        <f>C13*(D13*$C$20+E13*$C$21)+G13*$C$20+F13</f>
        <v>11.564191578675912</v>
      </c>
      <c r="L13" t="s">
        <v>131</v>
      </c>
      <c r="M13" s="10">
        <v>499601.90301196318</v>
      </c>
      <c r="N13" s="10"/>
      <c r="O13" s="15">
        <f>M13/SUM($M$10:$M$13,$M$15)</f>
        <v>0.22749022691274803</v>
      </c>
    </row>
    <row r="14" spans="2:15" x14ac:dyDescent="0.4">
      <c r="L14" s="3" t="s">
        <v>132</v>
      </c>
      <c r="M14" s="10">
        <v>610321.80459877616</v>
      </c>
      <c r="N14" s="10"/>
      <c r="O14" s="15"/>
    </row>
    <row r="15" spans="2:15" x14ac:dyDescent="0.4">
      <c r="B15" s="24" t="s">
        <v>187</v>
      </c>
      <c r="E15" s="24" t="s">
        <v>189</v>
      </c>
      <c r="L15" t="s">
        <v>133</v>
      </c>
      <c r="M15" s="10">
        <v>623632.38653744769</v>
      </c>
      <c r="N15" s="10"/>
      <c r="O15" s="15">
        <f>M15/SUM($M$10:$M$13,$M$15)</f>
        <v>0.28396663877428308</v>
      </c>
    </row>
    <row r="16" spans="2:15" x14ac:dyDescent="0.4">
      <c r="B16" t="s">
        <v>173</v>
      </c>
      <c r="C16" s="23">
        <f>SUM(E40,E42)/SUM(E39:E42)</f>
        <v>0.77060995200934546</v>
      </c>
      <c r="E16" t="s">
        <v>176</v>
      </c>
      <c r="F16" s="7">
        <f>1-C20-C21</f>
        <v>9.5465393794749387E-2</v>
      </c>
      <c r="I16" s="10"/>
      <c r="J16">
        <v>0.13925999999999999</v>
      </c>
      <c r="L16" s="3" t="s">
        <v>134</v>
      </c>
      <c r="M16" s="10">
        <v>220911.07670122979</v>
      </c>
      <c r="N16" s="10"/>
      <c r="O16" s="15"/>
    </row>
    <row r="17" spans="2:15" x14ac:dyDescent="0.4">
      <c r="B17" t="s">
        <v>183</v>
      </c>
      <c r="C17" s="23">
        <f>25*C16^2-25*C16+6.75</f>
        <v>2.3307436531625072</v>
      </c>
      <c r="E17" t="s">
        <v>163</v>
      </c>
      <c r="F17" s="10">
        <v>30</v>
      </c>
      <c r="I17">
        <f>1+J16</f>
        <v>1.1392599999999999</v>
      </c>
      <c r="J17">
        <v>2.3475199999999998</v>
      </c>
      <c r="L17" s="3" t="s">
        <v>135</v>
      </c>
      <c r="M17" s="10">
        <v>1223606.062328673</v>
      </c>
      <c r="N17" s="10"/>
      <c r="O17" s="15"/>
    </row>
    <row r="18" spans="2:15" x14ac:dyDescent="0.4">
      <c r="B18" t="s">
        <v>161</v>
      </c>
      <c r="C18" s="9">
        <v>0.4</v>
      </c>
      <c r="E18" t="s">
        <v>186</v>
      </c>
      <c r="F18">
        <v>0.5</v>
      </c>
      <c r="I18">
        <v>1</v>
      </c>
      <c r="J18">
        <f>I18/I17*J17</f>
        <v>2.0605656303214368</v>
      </c>
      <c r="L18" s="20" t="s">
        <v>137</v>
      </c>
    </row>
    <row r="19" spans="2:15" x14ac:dyDescent="0.4">
      <c r="B19" t="s">
        <v>172</v>
      </c>
      <c r="C19">
        <v>0.4</v>
      </c>
      <c r="E19" t="s">
        <v>197</v>
      </c>
      <c r="F19">
        <v>1</v>
      </c>
      <c r="I19" s="10"/>
    </row>
    <row r="20" spans="2:15" x14ac:dyDescent="0.4">
      <c r="B20" t="s">
        <v>174</v>
      </c>
      <c r="C20" s="7">
        <f>C56</f>
        <v>0.19809069212410502</v>
      </c>
      <c r="I20" s="10"/>
      <c r="L20" s="25" t="s">
        <v>139</v>
      </c>
      <c r="M20" s="27">
        <f>$M$10+$M$13+$M$15</f>
        <v>1861789.7476054491</v>
      </c>
      <c r="N20" s="27"/>
    </row>
    <row r="21" spans="2:15" x14ac:dyDescent="0.4">
      <c r="B21" t="s">
        <v>175</v>
      </c>
      <c r="C21" s="7">
        <f>D56</f>
        <v>0.7064439140811456</v>
      </c>
      <c r="L21" s="25" t="s">
        <v>138</v>
      </c>
      <c r="M21" s="27">
        <f>$M$12+$M$14+$M$17</f>
        <v>2094628.6929981175</v>
      </c>
      <c r="N21" s="27"/>
    </row>
    <row r="22" spans="2:15" x14ac:dyDescent="0.4">
      <c r="L22" s="25" t="s">
        <v>140</v>
      </c>
      <c r="M22" s="27">
        <f>SUM($M$10:$M$12)</f>
        <v>1072912.3748239176</v>
      </c>
      <c r="N22" s="27"/>
      <c r="O22" s="15">
        <f>M22/estimates!C70</f>
        <v>0.50298009565555546</v>
      </c>
    </row>
    <row r="23" spans="2:15" x14ac:dyDescent="0.4">
      <c r="L23" s="25" t="s">
        <v>141</v>
      </c>
      <c r="M23" s="27">
        <f>SUM($M$15:$M$17)</f>
        <v>2068149.5255673504</v>
      </c>
      <c r="N23" s="27"/>
      <c r="O23" s="15">
        <f>M23/estimates!D70</f>
        <v>0.43822966438597838</v>
      </c>
    </row>
    <row r="24" spans="2:15" x14ac:dyDescent="0.4">
      <c r="B24" s="1" t="s">
        <v>190</v>
      </c>
      <c r="C24" s="1"/>
      <c r="D24" s="1"/>
      <c r="E24" s="1"/>
      <c r="F24" s="1"/>
      <c r="G24" s="1"/>
      <c r="H24" s="1"/>
      <c r="L24" s="25" t="s">
        <v>229</v>
      </c>
      <c r="M24" s="77">
        <f>M20/M22</f>
        <v>1.7352672886366876</v>
      </c>
      <c r="N24" s="53"/>
      <c r="O24" t="s">
        <v>151</v>
      </c>
    </row>
    <row r="25" spans="2:15" x14ac:dyDescent="0.4">
      <c r="C25" t="s">
        <v>153</v>
      </c>
      <c r="D25" t="s">
        <v>157</v>
      </c>
      <c r="E25" t="s">
        <v>127</v>
      </c>
      <c r="F25" t="s">
        <v>193</v>
      </c>
      <c r="G25" t="s">
        <v>177</v>
      </c>
      <c r="H25" t="s">
        <v>178</v>
      </c>
      <c r="L25" s="25" t="s">
        <v>230</v>
      </c>
      <c r="M25" s="77">
        <f>M21/M23</f>
        <v>1.0128033138336567</v>
      </c>
      <c r="N25" s="53"/>
      <c r="O25" t="s">
        <v>152</v>
      </c>
    </row>
    <row r="26" spans="2:15" x14ac:dyDescent="0.4">
      <c r="B26" s="29" t="s">
        <v>154</v>
      </c>
      <c r="C26" s="23">
        <f>old!M22/old!M20*old!M21/old!M23</f>
        <v>0.58365839111124229</v>
      </c>
      <c r="D26" s="10">
        <f>old!M22*F19</f>
        <v>1072912.3748239176</v>
      </c>
      <c r="E26" s="10">
        <f>D26*C26/F26</f>
        <v>262338.0253810967</v>
      </c>
      <c r="F26" s="9">
        <f>C10*(D10*$C$20+E10*$C$21)+G10*$C$20+F10*$C$21</f>
        <v>2.3870512465105755</v>
      </c>
      <c r="G26" s="10">
        <f>(1-F16)*E26</f>
        <v>237293.82248075336</v>
      </c>
      <c r="H26" s="6">
        <f>G26/$G$35</f>
        <v>0.10828231821426219</v>
      </c>
      <c r="L26" s="25" t="s">
        <v>148</v>
      </c>
      <c r="M26" s="26">
        <f>M15/M20</f>
        <v>0.33496391702636447</v>
      </c>
      <c r="N26" s="26"/>
    </row>
    <row r="27" spans="2:15" x14ac:dyDescent="0.4">
      <c r="B27" s="29" t="s">
        <v>155</v>
      </c>
      <c r="C27" s="23">
        <f>old!M23/old!M21*old!M20/old!M22</f>
        <v>1.7133309744696279</v>
      </c>
      <c r="D27" s="10">
        <f>old!M23*F19</f>
        <v>2068149.5255673504</v>
      </c>
      <c r="E27" s="10">
        <f>D27*C27/F27</f>
        <v>640130.48245663953</v>
      </c>
      <c r="F27" s="9">
        <f>C11*(D11*$C$20+E11*$C$21)+G11*$C$20+F11*$C$21</f>
        <v>5.5354724374170514</v>
      </c>
      <c r="G27" s="10">
        <f>(1-F16)*E27</f>
        <v>579020.17386889353</v>
      </c>
      <c r="H27" s="6">
        <f>G27/$G$35</f>
        <v>0.26421946456037343</v>
      </c>
      <c r="L27" s="25" t="s">
        <v>149</v>
      </c>
      <c r="M27" s="26">
        <f>M12/M21</f>
        <v>0.12446159404868933</v>
      </c>
      <c r="N27" s="26"/>
    </row>
    <row r="28" spans="2:15" x14ac:dyDescent="0.4">
      <c r="B28" s="29" t="s">
        <v>159</v>
      </c>
      <c r="C28" s="23">
        <f>C26*(1-F18)</f>
        <v>0.29182919555562115</v>
      </c>
      <c r="D28" s="10">
        <f>D26</f>
        <v>1072912.3748239176</v>
      </c>
      <c r="E28" s="10">
        <f>D28*C28/F28</f>
        <v>75533.483291996396</v>
      </c>
      <c r="F28" s="9">
        <f>C12*(D12*$C$20+E12*$C$21)+G12*$C$20+F12*$C$21</f>
        <v>4.1452762616034695</v>
      </c>
      <c r="G28" s="10">
        <f>E28</f>
        <v>75533.483291996396</v>
      </c>
      <c r="H28" s="6">
        <f>G28/$G$35</f>
        <v>3.4467566783450483E-2</v>
      </c>
      <c r="L28" t="s">
        <v>144</v>
      </c>
      <c r="M28" s="6">
        <f>M16/M23</f>
        <v>0.10681581479976782</v>
      </c>
      <c r="N28" s="6"/>
    </row>
    <row r="29" spans="2:15" x14ac:dyDescent="0.4">
      <c r="B29" s="36" t="s">
        <v>156</v>
      </c>
      <c r="C29" s="48">
        <f>C27*(1+F18)</f>
        <v>2.569996461704442</v>
      </c>
      <c r="D29" s="34">
        <f>D27</f>
        <v>2068149.5255673504</v>
      </c>
      <c r="E29" s="34">
        <f>D29*C29/F29</f>
        <v>511564.36230894027</v>
      </c>
      <c r="F29" s="42">
        <f>C13*(D13*$C$20+E13*$C$21)+G13*$C$20+F13*$C$21</f>
        <v>10.389967235000494</v>
      </c>
      <c r="G29" s="34">
        <f>E29</f>
        <v>511564.36230894027</v>
      </c>
      <c r="H29" s="35">
        <f>G29/$G$35</f>
        <v>0.23343791459681038</v>
      </c>
      <c r="L29" t="s">
        <v>145</v>
      </c>
      <c r="M29" s="6">
        <f>M11/M22</f>
        <v>6.8650611574220019E-2</v>
      </c>
      <c r="N29" s="6"/>
    </row>
    <row r="30" spans="2:15" x14ac:dyDescent="0.4">
      <c r="B30" s="32"/>
      <c r="F30" s="32" t="s">
        <v>180</v>
      </c>
      <c r="G30" s="33">
        <f>SUM(G26:G29)</f>
        <v>1403411.8419505837</v>
      </c>
      <c r="H30" s="37">
        <f>G30/$G$35</f>
        <v>0.64040726415489657</v>
      </c>
      <c r="L30" t="s">
        <v>142</v>
      </c>
      <c r="M30" s="6">
        <f>M13/M20</f>
        <v>0.268344964115593</v>
      </c>
      <c r="N30" s="6"/>
    </row>
    <row r="31" spans="2:15" x14ac:dyDescent="0.4">
      <c r="L31" t="s">
        <v>143</v>
      </c>
      <c r="M31" s="6">
        <f>M14/M21</f>
        <v>0.29137469883753025</v>
      </c>
      <c r="N31" s="6"/>
    </row>
    <row r="32" spans="2:15" x14ac:dyDescent="0.4">
      <c r="B32" s="36" t="s">
        <v>179</v>
      </c>
      <c r="C32" s="39" t="s">
        <v>182</v>
      </c>
      <c r="D32" s="40" t="s">
        <v>182</v>
      </c>
      <c r="E32" s="40">
        <f>old!M20-SUM(E27,E29)</f>
        <v>710094.90283986926</v>
      </c>
      <c r="F32" s="40"/>
      <c r="G32" s="40">
        <f>E32+F16*SUM(G26:G27)</f>
        <v>788024.63996155397</v>
      </c>
      <c r="H32" s="35">
        <f>G32/$G$35</f>
        <v>0.35959273584510332</v>
      </c>
    </row>
    <row r="33" spans="2:15" x14ac:dyDescent="0.4">
      <c r="F33" s="32" t="s">
        <v>181</v>
      </c>
      <c r="G33" s="33">
        <f>G32</f>
        <v>788024.63996155397</v>
      </c>
      <c r="H33" s="38">
        <f>H32</f>
        <v>0.35959273584510332</v>
      </c>
      <c r="L33" s="24" t="s">
        <v>146</v>
      </c>
    </row>
    <row r="34" spans="2:15" x14ac:dyDescent="0.4">
      <c r="B34" s="29"/>
      <c r="L34" s="25" t="s">
        <v>147</v>
      </c>
      <c r="M34" s="26">
        <v>0.9</v>
      </c>
      <c r="N34" s="26"/>
    </row>
    <row r="35" spans="2:15" x14ac:dyDescent="0.4">
      <c r="F35" s="32" t="s">
        <v>166</v>
      </c>
      <c r="G35" s="33">
        <f>SUM(G30:G32)</f>
        <v>2191436.4819121379</v>
      </c>
      <c r="H35" s="38">
        <f>H33</f>
        <v>0.35959273584510332</v>
      </c>
      <c r="L35" s="25" t="s">
        <v>150</v>
      </c>
      <c r="M35" s="26">
        <f>M30</f>
        <v>0.268344964115593</v>
      </c>
      <c r="N35" s="26"/>
    </row>
    <row r="37" spans="2:15" x14ac:dyDescent="0.4">
      <c r="B37" s="54" t="s">
        <v>192</v>
      </c>
      <c r="C37" s="54"/>
      <c r="D37" s="54"/>
      <c r="E37" s="54"/>
      <c r="F37" s="54"/>
      <c r="G37" s="54"/>
      <c r="H37" s="54"/>
    </row>
    <row r="38" spans="2:15" x14ac:dyDescent="0.4">
      <c r="C38" t="s">
        <v>194</v>
      </c>
      <c r="D38" s="45" t="s">
        <v>196</v>
      </c>
      <c r="E38" t="s">
        <v>195</v>
      </c>
      <c r="F38" s="45" t="s">
        <v>196</v>
      </c>
      <c r="G38" s="44" t="s">
        <v>188</v>
      </c>
    </row>
    <row r="39" spans="2:15" x14ac:dyDescent="0.4">
      <c r="B39" s="29" t="s">
        <v>154</v>
      </c>
      <c r="C39" s="9">
        <f>C26*D26/E39</f>
        <v>2.4020419111496083</v>
      </c>
      <c r="D39" s="43">
        <f>F26-C39</f>
        <v>-1.4990664639032758E-2</v>
      </c>
      <c r="E39" s="10">
        <f>old!M12</f>
        <v>260700.82607066841</v>
      </c>
      <c r="F39" s="46">
        <f>E26-E39</f>
        <v>1637.1993104282883</v>
      </c>
      <c r="G39" s="47">
        <f>F39/E39</f>
        <v>6.2799927990427277E-3</v>
      </c>
      <c r="L39" s="196" t="s">
        <v>75</v>
      </c>
      <c r="M39" s="196"/>
      <c r="N39" s="54"/>
    </row>
    <row r="40" spans="2:15" x14ac:dyDescent="0.4">
      <c r="B40" s="29" t="s">
        <v>155</v>
      </c>
      <c r="C40" s="9">
        <f>C27*D27/E40</f>
        <v>5.6819124831908212</v>
      </c>
      <c r="D40" s="43">
        <f>F27-C40</f>
        <v>-0.14644004577376979</v>
      </c>
      <c r="E40" s="10">
        <f>old!M15</f>
        <v>623632.38653744769</v>
      </c>
      <c r="F40" s="46">
        <f>E27-E40</f>
        <v>16498.095919191837</v>
      </c>
      <c r="G40" s="47">
        <f>F40/E40</f>
        <v>2.6454841466449667E-2</v>
      </c>
      <c r="L40" t="s">
        <v>74</v>
      </c>
      <c r="M40">
        <v>310000</v>
      </c>
      <c r="O40" t="s">
        <v>70</v>
      </c>
    </row>
    <row r="41" spans="2:15" x14ac:dyDescent="0.4">
      <c r="B41" s="29" t="s">
        <v>159</v>
      </c>
      <c r="C41" s="9">
        <f>C28*D28/E41</f>
        <v>4.2509336605125032</v>
      </c>
      <c r="D41" s="43">
        <f>F28-C41</f>
        <v>-0.1056573989090337</v>
      </c>
      <c r="E41" s="10">
        <f>old!M11</f>
        <v>73656.090697210733</v>
      </c>
      <c r="F41" s="46">
        <f>E28-E41</f>
        <v>1877.3925947856624</v>
      </c>
      <c r="G41" s="47">
        <f>F41/E41</f>
        <v>2.5488626629715457E-2</v>
      </c>
      <c r="L41" t="s">
        <v>73</v>
      </c>
      <c r="M41">
        <v>590000</v>
      </c>
      <c r="O41" t="s">
        <v>70</v>
      </c>
    </row>
    <row r="42" spans="2:15" x14ac:dyDescent="0.4">
      <c r="B42" s="29" t="s">
        <v>156</v>
      </c>
      <c r="C42" s="9">
        <f>C29*D29/E42</f>
        <v>10.638744430195931</v>
      </c>
      <c r="D42" s="43">
        <f>F29-C42</f>
        <v>-0.24877719519543717</v>
      </c>
      <c r="E42" s="10">
        <f>old!M13</f>
        <v>499601.90301196318</v>
      </c>
      <c r="F42" s="46">
        <f>E29-E42</f>
        <v>11962.459296977089</v>
      </c>
      <c r="G42" s="47">
        <f>F42/E42</f>
        <v>2.3943982648702285E-2</v>
      </c>
      <c r="L42" t="s">
        <v>76</v>
      </c>
    </row>
    <row r="43" spans="2:15" x14ac:dyDescent="0.4">
      <c r="C43" s="10"/>
      <c r="E43" s="10">
        <f>old!M10</f>
        <v>738555.45805603836</v>
      </c>
    </row>
    <row r="44" spans="2:15" x14ac:dyDescent="0.4">
      <c r="L44" s="196" t="s">
        <v>86</v>
      </c>
      <c r="M44" s="196"/>
      <c r="N44" s="54"/>
    </row>
    <row r="45" spans="2:15" x14ac:dyDescent="0.4">
      <c r="B45" s="54" t="s">
        <v>164</v>
      </c>
      <c r="C45" s="54"/>
      <c r="D45" s="54"/>
      <c r="E45" s="54"/>
      <c r="F45" s="54"/>
      <c r="G45" s="54"/>
      <c r="H45" s="54"/>
      <c r="L45" t="s">
        <v>87</v>
      </c>
      <c r="M45">
        <v>690000</v>
      </c>
      <c r="O45" s="15">
        <f>M45/$M$47</f>
        <v>8.1656804733727814E-2</v>
      </c>
    </row>
    <row r="46" spans="2:15" x14ac:dyDescent="0.4">
      <c r="C46" t="s">
        <v>165</v>
      </c>
      <c r="D46" t="s">
        <v>160</v>
      </c>
      <c r="E46" t="s">
        <v>168</v>
      </c>
      <c r="F46" t="s">
        <v>170</v>
      </c>
      <c r="L46" t="s">
        <v>88</v>
      </c>
      <c r="M46">
        <v>920000</v>
      </c>
      <c r="O46" s="15">
        <f>M46/$M$48</f>
        <v>0.30666666666666664</v>
      </c>
    </row>
    <row r="47" spans="2:15" x14ac:dyDescent="0.4">
      <c r="B47" t="s">
        <v>154</v>
      </c>
      <c r="C47" s="30">
        <v>590</v>
      </c>
      <c r="D47" s="30">
        <v>2050</v>
      </c>
      <c r="E47" s="29">
        <v>100</v>
      </c>
      <c r="I47" s="29"/>
      <c r="L47" t="s">
        <v>89</v>
      </c>
      <c r="M47">
        <v>8450000</v>
      </c>
    </row>
    <row r="48" spans="2:15" x14ac:dyDescent="0.4">
      <c r="B48" t="s">
        <v>166</v>
      </c>
      <c r="C48" s="29">
        <v>3000</v>
      </c>
      <c r="D48" s="29">
        <v>3000</v>
      </c>
      <c r="E48" s="29">
        <v>3000</v>
      </c>
      <c r="I48" s="29"/>
      <c r="L48" t="s">
        <v>90</v>
      </c>
      <c r="M48">
        <v>3000000</v>
      </c>
    </row>
    <row r="49" spans="2:15" x14ac:dyDescent="0.4">
      <c r="C49" s="31">
        <f>C47/C48</f>
        <v>0.19666666666666666</v>
      </c>
      <c r="D49" s="31">
        <f>D47/D48</f>
        <v>0.68333333333333335</v>
      </c>
      <c r="E49" s="31">
        <f>E47/E48</f>
        <v>3.3333333333333333E-2</v>
      </c>
      <c r="I49" s="6"/>
      <c r="L49" t="s">
        <v>91</v>
      </c>
      <c r="M49">
        <v>4</v>
      </c>
      <c r="O49" t="s">
        <v>92</v>
      </c>
    </row>
    <row r="50" spans="2:15" x14ac:dyDescent="0.4">
      <c r="B50" t="s">
        <v>159</v>
      </c>
      <c r="C50" s="29">
        <v>240</v>
      </c>
      <c r="D50" s="29">
        <v>910</v>
      </c>
      <c r="E50" s="29">
        <v>0</v>
      </c>
    </row>
    <row r="51" spans="2:15" x14ac:dyDescent="0.4">
      <c r="B51" t="s">
        <v>166</v>
      </c>
      <c r="C51" s="29">
        <v>1190</v>
      </c>
      <c r="D51" s="29">
        <v>1190</v>
      </c>
      <c r="E51" s="29">
        <v>1190</v>
      </c>
      <c r="L51" s="54" t="s">
        <v>77</v>
      </c>
      <c r="M51" s="54"/>
      <c r="N51" s="54"/>
    </row>
    <row r="52" spans="2:15" x14ac:dyDescent="0.4">
      <c r="C52" s="31">
        <f>C50/C51</f>
        <v>0.20168067226890757</v>
      </c>
      <c r="D52" s="31">
        <f>D50/D51</f>
        <v>0.76470588235294112</v>
      </c>
      <c r="E52" s="31">
        <f>E50/E51</f>
        <v>0</v>
      </c>
      <c r="L52" t="s">
        <v>78</v>
      </c>
      <c r="M52" s="10" t="e">
        <f>estimates!#REF!*M40/$M$54</f>
        <v>#REF!</v>
      </c>
      <c r="N52" s="10"/>
      <c r="O52" t="s">
        <v>85</v>
      </c>
    </row>
    <row r="53" spans="2:15" x14ac:dyDescent="0.4">
      <c r="L53" t="s">
        <v>79</v>
      </c>
      <c r="M53" s="10" t="e">
        <f>estimates!#REF!*M41/$M$54</f>
        <v>#REF!</v>
      </c>
      <c r="N53" s="10"/>
      <c r="O53" t="s">
        <v>85</v>
      </c>
    </row>
    <row r="54" spans="2:15" x14ac:dyDescent="0.4">
      <c r="B54" t="s">
        <v>169</v>
      </c>
      <c r="C54">
        <f>SUM(C47,C50)</f>
        <v>830</v>
      </c>
      <c r="D54">
        <f>SUM(D47,D50)</f>
        <v>2960</v>
      </c>
      <c r="E54">
        <f>SUM(E47,E50)</f>
        <v>100</v>
      </c>
      <c r="L54" t="s">
        <v>80</v>
      </c>
      <c r="M54">
        <v>1.3</v>
      </c>
      <c r="O54" t="s">
        <v>83</v>
      </c>
    </row>
    <row r="55" spans="2:15" x14ac:dyDescent="0.4">
      <c r="B55" t="s">
        <v>166</v>
      </c>
      <c r="C55" s="29">
        <v>4190</v>
      </c>
      <c r="D55" s="29">
        <v>4190</v>
      </c>
      <c r="E55" s="29">
        <v>4190</v>
      </c>
    </row>
    <row r="56" spans="2:15" x14ac:dyDescent="0.4">
      <c r="B56" t="s">
        <v>167</v>
      </c>
      <c r="C56" s="31">
        <f>SUM(C47,C50)/C55</f>
        <v>0.19809069212410502</v>
      </c>
      <c r="D56" s="31">
        <f>SUM(D47,D50)/D55</f>
        <v>0.7064439140811456</v>
      </c>
      <c r="E56" s="31">
        <f>SUM(E47,E50)/E55</f>
        <v>2.386634844868735E-2</v>
      </c>
    </row>
    <row r="57" spans="2:15" x14ac:dyDescent="0.4">
      <c r="C57" s="29"/>
      <c r="D57" s="29"/>
      <c r="E57" s="29"/>
      <c r="H57" s="29"/>
    </row>
    <row r="58" spans="2:15" x14ac:dyDescent="0.4">
      <c r="B58" t="s">
        <v>128</v>
      </c>
      <c r="C58" s="29">
        <v>310</v>
      </c>
      <c r="D58" s="29">
        <v>2230</v>
      </c>
      <c r="E58" s="29">
        <v>210</v>
      </c>
      <c r="F58" s="29">
        <v>5470</v>
      </c>
      <c r="H58" s="29"/>
    </row>
    <row r="59" spans="2:15" x14ac:dyDescent="0.4">
      <c r="B59" t="s">
        <v>166</v>
      </c>
      <c r="C59" s="29">
        <v>8450</v>
      </c>
      <c r="D59" s="29">
        <v>8450</v>
      </c>
      <c r="E59" s="29">
        <v>8450</v>
      </c>
      <c r="F59" s="29">
        <v>8450</v>
      </c>
      <c r="H59" s="6"/>
    </row>
    <row r="60" spans="2:15" x14ac:dyDescent="0.4">
      <c r="C60" s="31">
        <f>C58/C59</f>
        <v>3.6686390532544376E-2</v>
      </c>
      <c r="D60" s="31">
        <f>D58/D59</f>
        <v>0.26390532544378698</v>
      </c>
      <c r="E60" s="31">
        <f>E58/E59</f>
        <v>2.4852071005917159E-2</v>
      </c>
      <c r="F60" s="6">
        <f>F58/F59</f>
        <v>0.64733727810650887</v>
      </c>
    </row>
    <row r="63" spans="2:15" x14ac:dyDescent="0.4">
      <c r="B63">
        <f>(old!M15)/(old!M12+old!M15)</f>
        <v>0.7052006841382813</v>
      </c>
    </row>
    <row r="64" spans="2:15" x14ac:dyDescent="0.4">
      <c r="B64" t="s">
        <v>319</v>
      </c>
      <c r="C64" s="10">
        <f>old!M12+old!M15</f>
        <v>884333.2126081161</v>
      </c>
    </row>
    <row r="65" spans="2:8" x14ac:dyDescent="0.4">
      <c r="B65" t="s">
        <v>320</v>
      </c>
      <c r="C65" s="10">
        <f>old!M11+old!M13</f>
        <v>573257.99370917387</v>
      </c>
      <c r="D65">
        <f>C65/C64</f>
        <v>0.64823754839931325</v>
      </c>
    </row>
    <row r="67" spans="2:8" x14ac:dyDescent="0.4">
      <c r="B67" s="196" t="s">
        <v>768</v>
      </c>
      <c r="C67" s="196"/>
      <c r="D67" s="54"/>
    </row>
    <row r="68" spans="2:8" x14ac:dyDescent="0.4">
      <c r="B68" t="s">
        <v>311</v>
      </c>
      <c r="C68">
        <v>11</v>
      </c>
    </row>
    <row r="69" spans="2:8" x14ac:dyDescent="0.4">
      <c r="B69" t="s">
        <v>312</v>
      </c>
      <c r="C69">
        <v>27</v>
      </c>
    </row>
    <row r="70" spans="2:8" x14ac:dyDescent="0.4">
      <c r="B70" t="s">
        <v>315</v>
      </c>
      <c r="C70">
        <f>(365-C69-C68)*2</f>
        <v>654</v>
      </c>
    </row>
    <row r="71" spans="2:8" x14ac:dyDescent="0.4">
      <c r="B71" t="s">
        <v>316</v>
      </c>
      <c r="C71">
        <f>ROUND(0.2*C70,0)</f>
        <v>131</v>
      </c>
    </row>
    <row r="72" spans="2:8" x14ac:dyDescent="0.4">
      <c r="B72" t="s">
        <v>313</v>
      </c>
      <c r="C72">
        <v>950</v>
      </c>
    </row>
    <row r="73" spans="2:8" x14ac:dyDescent="0.4">
      <c r="B73" t="s">
        <v>314</v>
      </c>
      <c r="C73" s="23">
        <f>C72/(C70-C71)</f>
        <v>1.8164435946462716</v>
      </c>
    </row>
    <row r="76" spans="2:8" ht="15" thickBot="1" x14ac:dyDescent="0.45"/>
    <row r="77" spans="2:8" x14ac:dyDescent="0.4">
      <c r="C77" s="86" t="s">
        <v>770</v>
      </c>
      <c r="D77" s="86"/>
      <c r="E77" s="86"/>
      <c r="F77" s="86"/>
      <c r="G77" s="86"/>
      <c r="H77" s="152"/>
    </row>
    <row r="78" spans="2:8" x14ac:dyDescent="0.4">
      <c r="C78" s="80"/>
      <c r="H78" s="66"/>
    </row>
    <row r="79" spans="2:8" x14ac:dyDescent="0.4">
      <c r="C79" s="80"/>
      <c r="E79" t="s">
        <v>277</v>
      </c>
      <c r="F79" t="s">
        <v>293</v>
      </c>
      <c r="H79" s="66"/>
    </row>
    <row r="80" spans="2:8" x14ac:dyDescent="0.4">
      <c r="C80" s="80"/>
      <c r="D80">
        <v>2020</v>
      </c>
      <c r="E80" s="10">
        <f>callibration!D87</f>
        <v>197271.06084011201</v>
      </c>
      <c r="F80" s="10">
        <f>callibration!D88</f>
        <v>684470.80200584314</v>
      </c>
      <c r="G80" s="85" t="str">
        <f>"("&amp;_xlfn.TEXTJOIN(",",TRUE,$D80,TEXT(E80,"0.000")&amp;")")</f>
        <v>(2020,197271.061)</v>
      </c>
      <c r="H80" s="140" t="str">
        <f>"("&amp;_xlfn.TEXTJOIN(",",TRUE,$D80,TEXT($F80,"0.000")&amp;")")</f>
        <v>(2020,684470.802)</v>
      </c>
    </row>
    <row r="81" spans="2:17" x14ac:dyDescent="0.4">
      <c r="C81" s="80"/>
      <c r="D81">
        <v>2030</v>
      </c>
      <c r="E81" s="10">
        <f>E80*(1+estimates!$C$214)</f>
        <v>199243.77144851314</v>
      </c>
      <c r="F81" s="10">
        <f>F80*(1+estimates!$C$214)</f>
        <v>691315.5100259016</v>
      </c>
      <c r="G81" s="85" t="str">
        <f>"("&amp;_xlfn.TEXTJOIN(",",TRUE,$D81,TEXT($E81,"0.000")&amp;")")</f>
        <v>(2030,199243.771)</v>
      </c>
      <c r="H81" s="140" t="str">
        <f>"("&amp;_xlfn.TEXTJOIN(",",TRUE,$D81,TEXT($F81,"0.000")&amp;")")</f>
        <v>(2030,691315.510)</v>
      </c>
    </row>
    <row r="82" spans="2:17" x14ac:dyDescent="0.4">
      <c r="C82" s="80"/>
      <c r="D82">
        <v>2040</v>
      </c>
      <c r="E82" s="10">
        <f>E81*(1+estimates!$C$214)</f>
        <v>201236.20916299828</v>
      </c>
      <c r="F82" s="10">
        <f>F81*(1+estimates!$C$214)</f>
        <v>698228.6651261606</v>
      </c>
      <c r="G82" s="85" t="str">
        <f>"("&amp;_xlfn.TEXTJOIN(",",TRUE,$D82,TEXT($E82,"0.000")&amp;")")</f>
        <v>(2040,201236.209)</v>
      </c>
      <c r="H82" s="140" t="str">
        <f>"("&amp;_xlfn.TEXTJOIN(",",TRUE,$D82,TEXT($F82,"0.000")&amp;")")</f>
        <v>(2040,698228.665)</v>
      </c>
    </row>
    <row r="83" spans="2:17" x14ac:dyDescent="0.4">
      <c r="C83" s="80"/>
      <c r="D83">
        <v>2050</v>
      </c>
      <c r="E83" s="10">
        <f>E82*(1+estimates!$C$214)</f>
        <v>203248.57125462827</v>
      </c>
      <c r="F83" s="10">
        <f>F82*(1+estimates!$C$214)</f>
        <v>705210.95177742222</v>
      </c>
      <c r="G83" s="85" t="str">
        <f>"("&amp;_xlfn.TEXTJOIN(",",TRUE,$D83,TEXT($E83,"0.000")&amp;")")</f>
        <v>(2050,203248.571)</v>
      </c>
      <c r="H83" s="140" t="str">
        <f>"("&amp;_xlfn.TEXTJOIN(",",TRUE,$D83,TEXT($F83,"0.000")&amp;")")</f>
        <v>(2050,705210.952)</v>
      </c>
    </row>
    <row r="84" spans="2:17" x14ac:dyDescent="0.4">
      <c r="C84" s="80"/>
      <c r="D84">
        <v>2060</v>
      </c>
      <c r="E84" s="10">
        <f>E83*(1+estimates!$C$214)</f>
        <v>205281.05696717455</v>
      </c>
      <c r="F84" s="10">
        <f>F83*(1+estimates!$C$214)</f>
        <v>712263.06129519641</v>
      </c>
      <c r="G84" s="85" t="str">
        <f>"("&amp;_xlfn.TEXTJOIN(",",TRUE,$D84,TEXT($E84,"0.000")&amp;")")</f>
        <v>(2060,205281.057)</v>
      </c>
      <c r="H84" s="140" t="str">
        <f>"("&amp;_xlfn.TEXTJOIN(",",TRUE,$D84,TEXT($F84,"0.000")&amp;")")</f>
        <v>(2060,712263.061)</v>
      </c>
    </row>
    <row r="85" spans="2:17" x14ac:dyDescent="0.4">
      <c r="C85" s="80"/>
      <c r="D85" t="s">
        <v>759</v>
      </c>
      <c r="E85" s="84" t="str">
        <f>_xlfn.TEXTJOIN(",",TRUE,G80:G84)</f>
        <v>(2020,197271.061),(2030,199243.771),(2040,201236.209),(2050,203248.571),(2060,205281.057)</v>
      </c>
      <c r="F85" s="84" t="str">
        <f>_xlfn.TEXTJOIN(",",TRUE,H80:H84)</f>
        <v>(2020,684470.802),(2030,691315.510),(2040,698228.665),(2050,705210.952),(2060,712263.061)</v>
      </c>
      <c r="G85" s="85"/>
      <c r="H85" s="66"/>
    </row>
    <row r="86" spans="2:17" x14ac:dyDescent="0.4">
      <c r="C86" s="80"/>
      <c r="D86" t="s">
        <v>771</v>
      </c>
      <c r="H86" s="66"/>
    </row>
    <row r="87" spans="2:17" ht="15" thickBot="1" x14ac:dyDescent="0.45">
      <c r="C87" s="83"/>
      <c r="D87" s="67"/>
      <c r="E87" s="67"/>
      <c r="F87" s="67"/>
      <c r="G87" s="67"/>
      <c r="H87" s="68"/>
    </row>
    <row r="89" spans="2:17" ht="15" thickBot="1" x14ac:dyDescent="0.45"/>
    <row r="90" spans="2:17" ht="15" thickBot="1" x14ac:dyDescent="0.45">
      <c r="B90" s="86" t="s">
        <v>490</v>
      </c>
      <c r="C90" s="147" t="s">
        <v>765</v>
      </c>
      <c r="D90" s="147"/>
      <c r="E90" s="147"/>
      <c r="F90" s="147"/>
      <c r="G90" s="147"/>
      <c r="H90" s="147"/>
      <c r="I90" s="148"/>
      <c r="J90" s="149"/>
      <c r="K90" s="147"/>
      <c r="L90" s="147"/>
      <c r="M90" s="147"/>
      <c r="N90" s="147"/>
      <c r="O90" s="147"/>
      <c r="P90" s="94"/>
      <c r="Q90" s="87"/>
    </row>
    <row r="91" spans="2:17" x14ac:dyDescent="0.4">
      <c r="B91" s="137" t="s">
        <v>743</v>
      </c>
      <c r="C91" s="138"/>
      <c r="D91" s="138"/>
      <c r="E91" s="138"/>
      <c r="F91" s="138"/>
      <c r="G91" s="138"/>
      <c r="H91" s="138"/>
      <c r="I91" s="139"/>
      <c r="J91" s="100" t="s">
        <v>744</v>
      </c>
      <c r="K91" s="142"/>
      <c r="L91" s="142"/>
      <c r="M91" s="142"/>
      <c r="N91" s="142"/>
      <c r="O91" s="142"/>
      <c r="P91" s="142"/>
      <c r="Q91" s="136"/>
    </row>
    <row r="92" spans="2:17" x14ac:dyDescent="0.4">
      <c r="B92" s="80" t="s">
        <v>685</v>
      </c>
      <c r="C92" t="s">
        <v>686</v>
      </c>
      <c r="I92" s="66"/>
      <c r="J92" s="80" t="s">
        <v>685</v>
      </c>
      <c r="K92" t="s">
        <v>686</v>
      </c>
      <c r="Q92" s="66"/>
    </row>
    <row r="93" spans="2:17" x14ac:dyDescent="0.4">
      <c r="B93" s="80"/>
      <c r="C93" t="s">
        <v>752</v>
      </c>
      <c r="D93" t="s">
        <v>753</v>
      </c>
      <c r="E93" t="s">
        <v>754</v>
      </c>
      <c r="I93" s="66"/>
      <c r="J93" s="80"/>
      <c r="K93" t="s">
        <v>752</v>
      </c>
      <c r="L93" t="s">
        <v>753</v>
      </c>
      <c r="M93" t="s">
        <v>754</v>
      </c>
      <c r="Q93" s="66"/>
    </row>
    <row r="94" spans="2:17" x14ac:dyDescent="0.4">
      <c r="B94" s="80">
        <v>2020</v>
      </c>
      <c r="C94" s="16">
        <f>estimates!$C$160</f>
        <v>3.9613503469814746</v>
      </c>
      <c r="D94" s="16">
        <f>estimates!$D$161</f>
        <v>0.63568372446246579</v>
      </c>
      <c r="E94" s="16">
        <f>estimates!$D$160</f>
        <v>2.4685717966625758</v>
      </c>
      <c r="F94" s="85" t="str">
        <f t="shared" ref="F94:H98" si="0">"("&amp;_xlfn.TEXTJOIN(",",TRUE,$B94,TEXT(C94,"0.000")&amp;")")</f>
        <v>(2020,3.961)</v>
      </c>
      <c r="G94" s="85" t="str">
        <f t="shared" si="0"/>
        <v>(2020,0.636)</v>
      </c>
      <c r="H94" s="85" t="str">
        <f t="shared" si="0"/>
        <v>(2020,2.469)</v>
      </c>
      <c r="I94" s="140"/>
      <c r="J94" s="80">
        <v>2020</v>
      </c>
      <c r="K94" s="16">
        <f>estimates!$C$160</f>
        <v>3.9613503469814746</v>
      </c>
      <c r="L94" s="16">
        <f>estimates!$D$161</f>
        <v>0.63568372446246579</v>
      </c>
      <c r="M94" s="16">
        <f>estimates!$D$160</f>
        <v>2.4685717966625758</v>
      </c>
      <c r="N94" s="85" t="str">
        <f t="shared" ref="N94:P98" si="1">"("&amp;_xlfn.TEXTJOIN(",",TRUE,$J94,TEXT(K94,"0.000")&amp;")")</f>
        <v>(2020,3.961)</v>
      </c>
      <c r="O94" s="85" t="str">
        <f t="shared" si="1"/>
        <v>(2020,0.636)</v>
      </c>
      <c r="P94" s="85" t="str">
        <f t="shared" si="1"/>
        <v>(2020,2.469)</v>
      </c>
      <c r="Q94" s="140"/>
    </row>
    <row r="95" spans="2:17" x14ac:dyDescent="0.4">
      <c r="B95" s="80">
        <v>2030</v>
      </c>
      <c r="C95" s="16">
        <f>C94+$G$102*D94</f>
        <v>3.9677071842260991</v>
      </c>
      <c r="D95" s="16">
        <f>(1-$G$102-$H$102)*D94</f>
        <v>0.61661321272859182</v>
      </c>
      <c r="E95" s="16">
        <f>E94+$H$102*D94</f>
        <v>2.4812854711518249</v>
      </c>
      <c r="F95" s="85" t="str">
        <f t="shared" si="0"/>
        <v>(2030,3.968)</v>
      </c>
      <c r="G95" s="85" t="str">
        <f t="shared" si="0"/>
        <v>(2030,0.617)</v>
      </c>
      <c r="H95" s="85" t="str">
        <f t="shared" si="0"/>
        <v>(2030,2.481)</v>
      </c>
      <c r="I95" s="140"/>
      <c r="J95" s="80">
        <v>2030</v>
      </c>
      <c r="K95" s="16">
        <f>K94+$O$102*L94</f>
        <v>3.9677071842260991</v>
      </c>
      <c r="L95" s="16">
        <f>(1-$O$102-$P$102)*L94</f>
        <v>0.61025637548396716</v>
      </c>
      <c r="M95" s="16">
        <f>M94+$P$102*L94</f>
        <v>2.4876423083964498</v>
      </c>
      <c r="N95" s="85" t="str">
        <f t="shared" si="1"/>
        <v>(2030,3.968)</v>
      </c>
      <c r="O95" s="85" t="str">
        <f t="shared" si="1"/>
        <v>(2030,0.610)</v>
      </c>
      <c r="P95" s="85" t="str">
        <f t="shared" si="1"/>
        <v>(2030,2.488)</v>
      </c>
      <c r="Q95" s="140"/>
    </row>
    <row r="96" spans="2:17" x14ac:dyDescent="0.4">
      <c r="B96" s="80">
        <v>2040</v>
      </c>
      <c r="C96" s="16">
        <f>C95+$G$102*D95</f>
        <v>3.973873316353385</v>
      </c>
      <c r="D96" s="16">
        <f>(1-$G$102-$H$102)*D95</f>
        <v>0.59811481634673402</v>
      </c>
      <c r="E96" s="16">
        <f>E95+$H$102*D95</f>
        <v>2.4936177354063966</v>
      </c>
      <c r="F96" s="85" t="str">
        <f t="shared" si="0"/>
        <v>(2040,3.974)</v>
      </c>
      <c r="G96" s="85" t="str">
        <f t="shared" si="0"/>
        <v>(2040,0.598)</v>
      </c>
      <c r="H96" s="85" t="str">
        <f t="shared" si="0"/>
        <v>(2040,2.494)</v>
      </c>
      <c r="I96" s="140"/>
      <c r="J96" s="80">
        <v>2040</v>
      </c>
      <c r="K96" s="16">
        <f>K95+$O$102*L95</f>
        <v>3.9738097479809387</v>
      </c>
      <c r="L96" s="16">
        <f>(1-$O$102-$P$102)*L95</f>
        <v>0.58584612046460849</v>
      </c>
      <c r="M96" s="16">
        <f>M95+$P$102*L95</f>
        <v>2.5059499996609689</v>
      </c>
      <c r="N96" s="85" t="str">
        <f t="shared" si="1"/>
        <v>(2040,3.974)</v>
      </c>
      <c r="O96" s="85" t="str">
        <f t="shared" si="1"/>
        <v>(2040,0.586)</v>
      </c>
      <c r="P96" s="85" t="str">
        <f t="shared" si="1"/>
        <v>(2040,2.506)</v>
      </c>
      <c r="Q96" s="140"/>
    </row>
    <row r="97" spans="2:17" x14ac:dyDescent="0.4">
      <c r="B97" s="80">
        <v>2050</v>
      </c>
      <c r="C97" s="16">
        <f>C96+$G$102*D96</f>
        <v>3.9798544645168525</v>
      </c>
      <c r="D97" s="16">
        <f>(1-$G$102-$H$102)*D96</f>
        <v>0.58017137185633194</v>
      </c>
      <c r="E97" s="16">
        <f>E96+$H$102*D96</f>
        <v>2.5055800317333312</v>
      </c>
      <c r="F97" s="85" t="str">
        <f t="shared" si="0"/>
        <v>(2050,3.980)</v>
      </c>
      <c r="G97" s="85" t="str">
        <f t="shared" si="0"/>
        <v>(2050,0.580)</v>
      </c>
      <c r="H97" s="85" t="str">
        <f t="shared" si="0"/>
        <v>(2050,2.506)</v>
      </c>
      <c r="I97" s="140"/>
      <c r="J97" s="80">
        <v>2050</v>
      </c>
      <c r="K97" s="16">
        <f>K96+$O$102*L96</f>
        <v>3.9796682091855846</v>
      </c>
      <c r="L97" s="16">
        <f>(1-$O$102-$P$102)*L96</f>
        <v>0.56241227564602414</v>
      </c>
      <c r="M97" s="16">
        <f>M96+$P$102*L96</f>
        <v>2.5235253832749072</v>
      </c>
      <c r="N97" s="85" t="str">
        <f t="shared" si="1"/>
        <v>(2050,3.980)</v>
      </c>
      <c r="O97" s="85" t="str">
        <f t="shared" si="1"/>
        <v>(2050,0.562)</v>
      </c>
      <c r="P97" s="85" t="str">
        <f t="shared" si="1"/>
        <v>(2050,2.524)</v>
      </c>
      <c r="Q97" s="140"/>
    </row>
    <row r="98" spans="2:17" x14ac:dyDescent="0.4">
      <c r="B98" s="80">
        <v>2060</v>
      </c>
      <c r="C98" s="16">
        <f>C97+$G$102*D97</f>
        <v>3.9856561782354158</v>
      </c>
      <c r="D98" s="16">
        <f>(1-$G$102-$H$102)*D97</f>
        <v>0.56276623070064202</v>
      </c>
      <c r="E98" s="16">
        <f>E97+$H$102*D97</f>
        <v>2.5171834591704578</v>
      </c>
      <c r="F98" s="85" t="str">
        <f t="shared" si="0"/>
        <v>(2060,3.986)</v>
      </c>
      <c r="G98" s="85" t="str">
        <f t="shared" si="0"/>
        <v>(2060,0.563)</v>
      </c>
      <c r="H98" s="85" t="str">
        <f t="shared" si="0"/>
        <v>(2060,2.517)</v>
      </c>
      <c r="I98" s="140"/>
      <c r="J98" s="80">
        <v>2060</v>
      </c>
      <c r="K98" s="16">
        <f>K97+$O$102*L97</f>
        <v>3.9852923319420448</v>
      </c>
      <c r="L98" s="16">
        <f>(1-$O$102-$P$102)*L97</f>
        <v>0.53991578462018319</v>
      </c>
      <c r="M98" s="16">
        <f>M97+$P$102*L97</f>
        <v>2.5403977515442877</v>
      </c>
      <c r="N98" s="85" t="str">
        <f t="shared" si="1"/>
        <v>(2060,3.985)</v>
      </c>
      <c r="O98" s="85" t="str">
        <f t="shared" si="1"/>
        <v>(2060,0.540)</v>
      </c>
      <c r="P98" s="85" t="str">
        <f t="shared" si="1"/>
        <v>(2060,2.540)</v>
      </c>
      <c r="Q98" s="140"/>
    </row>
    <row r="99" spans="2:17" x14ac:dyDescent="0.4">
      <c r="B99" s="80" t="s">
        <v>759</v>
      </c>
      <c r="C99" s="84" t="str">
        <f>_xlfn.TEXTJOIN(",",TRUE,F94:F98)</f>
        <v>(2020,3.961),(2030,3.968),(2040,3.974),(2050,3.980),(2060,3.986)</v>
      </c>
      <c r="D99" s="84" t="str">
        <f>_xlfn.TEXTJOIN(",",TRUE,G94:G98)</f>
        <v>(2020,0.636),(2030,0.617),(2040,0.598),(2050,0.580),(2060,0.563)</v>
      </c>
      <c r="E99" s="84" t="str">
        <f>_xlfn.TEXTJOIN(",",TRUE,H94:H98)</f>
        <v>(2020,2.469),(2030,2.481),(2040,2.494),(2050,2.506),(2060,2.517)</v>
      </c>
      <c r="I99" s="66"/>
      <c r="J99" s="80" t="s">
        <v>759</v>
      </c>
      <c r="K99" s="84" t="str">
        <f>_xlfn.TEXTJOIN(",",TRUE,N94:N98)</f>
        <v>(2020,3.961),(2030,3.968),(2040,3.974),(2050,3.980),(2060,3.985)</v>
      </c>
      <c r="L99" s="84" t="str">
        <f>_xlfn.TEXTJOIN(",",TRUE,O94:O98)</f>
        <v>(2020,0.636),(2030,0.610),(2040,0.586),(2050,0.562),(2060,0.540)</v>
      </c>
      <c r="M99" s="84" t="str">
        <f>_xlfn.TEXTJOIN(",",TRUE,P94:P98)</f>
        <v>(2020,2.469),(2030,2.488),(2040,2.506),(2050,2.524),(2060,2.540)</v>
      </c>
      <c r="Q99" s="66"/>
    </row>
    <row r="100" spans="2:17" x14ac:dyDescent="0.4">
      <c r="B100" s="80"/>
      <c r="D100" s="85"/>
      <c r="I100" s="66"/>
      <c r="J100" s="80"/>
      <c r="Q100" s="66"/>
    </row>
    <row r="101" spans="2:17" x14ac:dyDescent="0.4">
      <c r="B101" s="80"/>
      <c r="D101" s="85"/>
      <c r="G101" t="s">
        <v>760</v>
      </c>
      <c r="H101" t="s">
        <v>761</v>
      </c>
      <c r="I101" s="66"/>
      <c r="J101" s="80"/>
      <c r="O101" t="s">
        <v>760</v>
      </c>
      <c r="P101" t="s">
        <v>761</v>
      </c>
      <c r="Q101" s="66"/>
    </row>
    <row r="102" spans="2:17" x14ac:dyDescent="0.4">
      <c r="B102" s="80"/>
      <c r="F102" s="141"/>
      <c r="G102" s="144">
        <v>0.01</v>
      </c>
      <c r="H102" s="144">
        <v>0.02</v>
      </c>
      <c r="I102" s="88"/>
      <c r="J102" s="80"/>
      <c r="N102" s="141">
        <v>2030</v>
      </c>
      <c r="O102" s="144">
        <v>0.01</v>
      </c>
      <c r="P102" s="144">
        <v>0.03</v>
      </c>
      <c r="Q102" s="88"/>
    </row>
    <row r="103" spans="2:17" x14ac:dyDescent="0.4">
      <c r="B103" s="80"/>
      <c r="D103" s="85"/>
      <c r="I103" s="88"/>
      <c r="J103" s="80"/>
      <c r="Q103" s="88"/>
    </row>
    <row r="104" spans="2:17" x14ac:dyDescent="0.4">
      <c r="B104" s="80"/>
      <c r="I104" s="66"/>
      <c r="J104" s="80"/>
      <c r="Q104" s="66"/>
    </row>
    <row r="105" spans="2:17" x14ac:dyDescent="0.4">
      <c r="B105" s="80"/>
      <c r="I105" s="66"/>
      <c r="J105" s="80"/>
      <c r="Q105" s="66"/>
    </row>
    <row r="106" spans="2:17" x14ac:dyDescent="0.4">
      <c r="B106" s="80"/>
      <c r="I106" s="66"/>
      <c r="J106" s="80"/>
      <c r="Q106" s="66"/>
    </row>
    <row r="107" spans="2:17" x14ac:dyDescent="0.4">
      <c r="B107" s="80"/>
      <c r="I107" s="66"/>
      <c r="J107" s="80"/>
      <c r="Q107" s="66"/>
    </row>
    <row r="108" spans="2:17" ht="15" thickBot="1" x14ac:dyDescent="0.45">
      <c r="B108" s="83"/>
      <c r="C108" s="67"/>
      <c r="D108" s="67"/>
      <c r="E108" s="67"/>
      <c r="F108" s="67"/>
      <c r="G108" s="67"/>
      <c r="H108" s="67"/>
      <c r="I108" s="68"/>
      <c r="J108" s="83"/>
      <c r="K108" s="67"/>
      <c r="L108" s="67"/>
      <c r="M108" s="67"/>
      <c r="N108" s="67"/>
      <c r="O108" s="67"/>
      <c r="P108" s="67"/>
      <c r="Q108" s="68"/>
    </row>
    <row r="109" spans="2:17" ht="15" thickBot="1" x14ac:dyDescent="0.45"/>
    <row r="110" spans="2:17" ht="15" thickBot="1" x14ac:dyDescent="0.45">
      <c r="B110" s="86" t="s">
        <v>490</v>
      </c>
      <c r="C110" s="94" t="s">
        <v>766</v>
      </c>
      <c r="D110" s="94"/>
      <c r="E110" s="94"/>
      <c r="F110" s="94"/>
      <c r="G110" s="94"/>
      <c r="H110" s="94"/>
      <c r="I110" s="87"/>
      <c r="J110" s="150"/>
      <c r="K110" s="94"/>
      <c r="L110" s="94"/>
      <c r="M110" s="94"/>
      <c r="N110" s="94"/>
      <c r="O110" s="94"/>
      <c r="P110" s="94"/>
      <c r="Q110" s="87"/>
    </row>
    <row r="111" spans="2:17" x14ac:dyDescent="0.4">
      <c r="B111" s="137" t="s">
        <v>743</v>
      </c>
      <c r="C111" s="138"/>
      <c r="D111" s="138"/>
      <c r="E111" s="138"/>
      <c r="F111" s="138"/>
      <c r="G111" s="138"/>
      <c r="H111" s="138"/>
      <c r="I111" s="139"/>
      <c r="J111" s="100" t="s">
        <v>744</v>
      </c>
      <c r="K111" s="142"/>
      <c r="L111" s="142"/>
      <c r="M111" s="142"/>
      <c r="N111" s="142"/>
      <c r="O111" s="142"/>
      <c r="P111" s="142"/>
      <c r="Q111" s="136"/>
    </row>
    <row r="112" spans="2:17" x14ac:dyDescent="0.4">
      <c r="B112" s="80" t="s">
        <v>685</v>
      </c>
      <c r="C112" t="s">
        <v>228</v>
      </c>
      <c r="I112" s="66"/>
      <c r="J112" s="80" t="s">
        <v>685</v>
      </c>
      <c r="K112" t="s">
        <v>228</v>
      </c>
      <c r="Q112" s="66"/>
    </row>
    <row r="113" spans="2:17" x14ac:dyDescent="0.4">
      <c r="B113" s="80">
        <v>2020</v>
      </c>
      <c r="C113" s="16">
        <f>estimates!C62</f>
        <v>3.0153158902361199E-2</v>
      </c>
      <c r="D113" s="85" t="str">
        <f t="shared" ref="D113:D120" si="2">"("&amp;_xlfn.TEXTJOIN(",",TRUE,$B113,TEXT($C113,"0.000")&amp;")")</f>
        <v>(2020,0.030)</v>
      </c>
      <c r="I113" s="66"/>
      <c r="J113" s="80">
        <v>2020</v>
      </c>
      <c r="K113" s="16">
        <f>estimates!C62</f>
        <v>3.0153158902361199E-2</v>
      </c>
      <c r="L113" s="85" t="str">
        <f t="shared" ref="L113:L120" si="3">"("&amp;_xlfn.TEXTJOIN(",",TRUE,$J113,TEXT($K113,"0.000")&amp;")")</f>
        <v>(2020,0.030)</v>
      </c>
      <c r="Q113" s="66"/>
    </row>
    <row r="114" spans="2:17" x14ac:dyDescent="0.4">
      <c r="B114" s="80">
        <f t="shared" ref="B114:B119" si="4">B113+5</f>
        <v>2025</v>
      </c>
      <c r="C114" s="16">
        <v>0.03</v>
      </c>
      <c r="D114" s="85" t="str">
        <f t="shared" si="2"/>
        <v>(2025,0.030)</v>
      </c>
      <c r="I114" s="66"/>
      <c r="J114" s="80">
        <f t="shared" ref="J114:J119" si="5">J113+5</f>
        <v>2025</v>
      </c>
      <c r="K114" s="16">
        <v>0.03</v>
      </c>
      <c r="L114" s="85" t="str">
        <f t="shared" si="3"/>
        <v>(2025,0.030)</v>
      </c>
      <c r="Q114" s="66"/>
    </row>
    <row r="115" spans="2:17" x14ac:dyDescent="0.4">
      <c r="B115" s="80">
        <f t="shared" si="4"/>
        <v>2030</v>
      </c>
      <c r="C115" s="16">
        <v>3.0499999999999999E-2</v>
      </c>
      <c r="D115" s="85" t="str">
        <f t="shared" si="2"/>
        <v>(2030,0.031)</v>
      </c>
      <c r="I115" s="66"/>
      <c r="J115" s="80">
        <f t="shared" si="5"/>
        <v>2030</v>
      </c>
      <c r="K115" s="16">
        <v>3.1E-2</v>
      </c>
      <c r="L115" s="85" t="str">
        <f t="shared" si="3"/>
        <v>(2030,0.031)</v>
      </c>
      <c r="Q115" s="66"/>
    </row>
    <row r="116" spans="2:17" x14ac:dyDescent="0.4">
      <c r="B116" s="80">
        <f t="shared" si="4"/>
        <v>2035</v>
      </c>
      <c r="C116" s="16">
        <v>3.1E-2</v>
      </c>
      <c r="D116" s="85" t="str">
        <f t="shared" si="2"/>
        <v>(2035,0.031)</v>
      </c>
      <c r="I116" s="66"/>
      <c r="J116" s="80">
        <f t="shared" si="5"/>
        <v>2035</v>
      </c>
      <c r="K116" s="16">
        <v>3.3000000000000002E-2</v>
      </c>
      <c r="L116" s="85" t="str">
        <f t="shared" si="3"/>
        <v>(2035,0.033)</v>
      </c>
      <c r="Q116" s="66"/>
    </row>
    <row r="117" spans="2:17" x14ac:dyDescent="0.4">
      <c r="B117" s="80">
        <f t="shared" si="4"/>
        <v>2040</v>
      </c>
      <c r="C117" s="16">
        <v>3.2000000000000001E-2</v>
      </c>
      <c r="D117" s="85" t="str">
        <f t="shared" si="2"/>
        <v>(2040,0.032)</v>
      </c>
      <c r="I117" s="66"/>
      <c r="J117" s="80">
        <f t="shared" si="5"/>
        <v>2040</v>
      </c>
      <c r="K117" s="16">
        <v>3.5000000000000003E-2</v>
      </c>
      <c r="L117" s="85" t="str">
        <f t="shared" si="3"/>
        <v>(2040,0.035)</v>
      </c>
      <c r="Q117" s="66"/>
    </row>
    <row r="118" spans="2:17" x14ac:dyDescent="0.4">
      <c r="B118" s="80">
        <f t="shared" si="4"/>
        <v>2045</v>
      </c>
      <c r="C118" s="16">
        <v>3.4000000000000002E-2</v>
      </c>
      <c r="D118" s="85" t="str">
        <f t="shared" si="2"/>
        <v>(2045,0.034)</v>
      </c>
      <c r="I118" s="66"/>
      <c r="J118" s="80">
        <f t="shared" si="5"/>
        <v>2045</v>
      </c>
      <c r="K118" s="16">
        <v>3.9E-2</v>
      </c>
      <c r="L118" s="85" t="str">
        <f t="shared" si="3"/>
        <v>(2045,0.039)</v>
      </c>
      <c r="Q118" s="66"/>
    </row>
    <row r="119" spans="2:17" x14ac:dyDescent="0.4">
      <c r="B119" s="80">
        <f t="shared" si="4"/>
        <v>2050</v>
      </c>
      <c r="C119" s="16">
        <v>3.5000000000000003E-2</v>
      </c>
      <c r="D119" s="85" t="str">
        <f t="shared" si="2"/>
        <v>(2050,0.035)</v>
      </c>
      <c r="I119" s="66"/>
      <c r="J119" s="80">
        <f t="shared" si="5"/>
        <v>2050</v>
      </c>
      <c r="K119" s="16">
        <v>0.04</v>
      </c>
      <c r="L119" s="85" t="str">
        <f t="shared" si="3"/>
        <v>(2050,0.040)</v>
      </c>
      <c r="Q119" s="66"/>
    </row>
    <row r="120" spans="2:17" x14ac:dyDescent="0.4">
      <c r="B120" s="80">
        <v>2060</v>
      </c>
      <c r="C120" s="16">
        <v>3.5000000000000003E-2</v>
      </c>
      <c r="D120" s="85" t="str">
        <f t="shared" si="2"/>
        <v>(2060,0.035)</v>
      </c>
      <c r="I120" s="66"/>
      <c r="J120" s="80">
        <v>2060</v>
      </c>
      <c r="K120" s="16">
        <v>0.04</v>
      </c>
      <c r="L120" s="85" t="str">
        <f t="shared" si="3"/>
        <v>(2060,0.040)</v>
      </c>
      <c r="Q120" s="66"/>
    </row>
    <row r="121" spans="2:17" x14ac:dyDescent="0.4">
      <c r="B121" s="80" t="s">
        <v>510</v>
      </c>
      <c r="C121" s="84" t="str">
        <f>_xlfn.TEXTJOIN(",",TRUE,D113:D120)</f>
        <v>(2020,0.030),(2025,0.030),(2030,0.031),(2035,0.031),(2040,0.032),(2045,0.034),(2050,0.035),(2060,0.035)</v>
      </c>
      <c r="I121" s="66"/>
      <c r="J121" s="80" t="s">
        <v>510</v>
      </c>
      <c r="K121" s="84" t="str">
        <f>_xlfn.TEXTJOIN(",",TRUE,L113:L120)</f>
        <v>(2020,0.030),(2025,0.030),(2030,0.031),(2035,0.033),(2040,0.035),(2045,0.039),(2050,0.040),(2060,0.040)</v>
      </c>
      <c r="Q121" s="66"/>
    </row>
    <row r="122" spans="2:17" ht="15" thickBot="1" x14ac:dyDescent="0.45">
      <c r="B122" s="83"/>
      <c r="C122" s="67"/>
      <c r="D122" s="67"/>
      <c r="E122" s="67"/>
      <c r="F122" s="67"/>
      <c r="G122" s="67"/>
      <c r="H122" s="67"/>
      <c r="I122" s="68"/>
      <c r="J122" s="83"/>
      <c r="K122" s="67"/>
      <c r="L122" s="67"/>
      <c r="M122" s="67"/>
      <c r="N122" s="67"/>
      <c r="O122" s="67"/>
      <c r="P122" s="67"/>
      <c r="Q122" s="68"/>
    </row>
    <row r="127" spans="2:17" x14ac:dyDescent="0.4">
      <c r="C127" s="127" t="s">
        <v>807</v>
      </c>
      <c r="D127" s="127"/>
      <c r="E127" s="128"/>
      <c r="F127" s="128"/>
      <c r="G127" s="128"/>
      <c r="H127" s="128"/>
      <c r="I127" s="128"/>
      <c r="J127" s="3" t="s">
        <v>697</v>
      </c>
    </row>
    <row r="128" spans="2:17" x14ac:dyDescent="0.4">
      <c r="C128" s="8" t="s">
        <v>0</v>
      </c>
      <c r="D128" s="8" t="s">
        <v>786</v>
      </c>
      <c r="E128" s="8" t="s">
        <v>787</v>
      </c>
      <c r="F128" s="8" t="s">
        <v>690</v>
      </c>
      <c r="G128" s="8" t="s">
        <v>691</v>
      </c>
      <c r="H128" s="8" t="s">
        <v>793</v>
      </c>
      <c r="I128" s="8" t="s">
        <v>34</v>
      </c>
      <c r="K128" s="8"/>
      <c r="M128" t="e" cm="1" vm="1">
        <f t="array" ref="M128">_xlfn._xlws.FILTER(E129:E150,$C$4:$C$25="constant")</f>
        <v>#VALUE!</v>
      </c>
      <c r="N128" t="e" cm="1" vm="1">
        <f t="array" ref="N128">_xlfn._xlws.FILTER(F129:F150,$C$4:$C$25="constant")</f>
        <v>#VALUE!</v>
      </c>
      <c r="O128" t="e" cm="1" vm="1">
        <f t="array" ref="O128">_xlfn._xlws.FILTER(G129:G150,$C$4:$C$25="constant")</f>
        <v>#VALUE!</v>
      </c>
    </row>
    <row r="129" spans="2:15" x14ac:dyDescent="0.4">
      <c r="B129">
        <v>1</v>
      </c>
      <c r="C129" t="s">
        <v>693</v>
      </c>
      <c r="D129" t="s">
        <v>788</v>
      </c>
      <c r="E129" t="s">
        <v>791</v>
      </c>
      <c r="F129" s="121">
        <v>0</v>
      </c>
      <c r="G129" s="121">
        <v>1</v>
      </c>
      <c r="H129" s="121">
        <v>1</v>
      </c>
      <c r="I129" t="s">
        <v>228</v>
      </c>
      <c r="J129" s="3" t="s">
        <v>790</v>
      </c>
    </row>
    <row r="130" spans="2:15" x14ac:dyDescent="0.4">
      <c r="B130">
        <f t="shared" ref="B130:B150" si="6">B129+1</f>
        <v>2</v>
      </c>
      <c r="D130" t="s">
        <v>789</v>
      </c>
      <c r="E130" t="s">
        <v>821</v>
      </c>
      <c r="F130" s="155">
        <v>0.58399999999999996</v>
      </c>
      <c r="G130" s="155">
        <v>0.68400000000000005</v>
      </c>
      <c r="H130" s="121">
        <v>1</v>
      </c>
      <c r="I130" t="s">
        <v>53</v>
      </c>
      <c r="J130" s="3"/>
    </row>
    <row r="131" spans="2:15" x14ac:dyDescent="0.4">
      <c r="B131">
        <f t="shared" si="6"/>
        <v>3</v>
      </c>
      <c r="C131" t="s">
        <v>696</v>
      </c>
      <c r="D131" t="s">
        <v>789</v>
      </c>
      <c r="E131" t="s">
        <v>785</v>
      </c>
      <c r="F131" s="117">
        <v>-0.3</v>
      </c>
      <c r="G131" s="117">
        <v>-0.1</v>
      </c>
      <c r="H131" s="117"/>
      <c r="I131" t="s">
        <v>53</v>
      </c>
    </row>
    <row r="132" spans="2:15" x14ac:dyDescent="0.4">
      <c r="B132">
        <f t="shared" si="6"/>
        <v>4</v>
      </c>
      <c r="D132" t="s">
        <v>798</v>
      </c>
      <c r="E132" t="s">
        <v>792</v>
      </c>
      <c r="F132" s="117">
        <v>0.5</v>
      </c>
      <c r="G132" s="117">
        <v>1.5</v>
      </c>
      <c r="H132" s="117"/>
      <c r="I132" t="s">
        <v>53</v>
      </c>
      <c r="J132" t="s">
        <v>820</v>
      </c>
    </row>
    <row r="133" spans="2:15" x14ac:dyDescent="0.4">
      <c r="B133">
        <f t="shared" si="6"/>
        <v>5</v>
      </c>
      <c r="C133" t="s">
        <v>701</v>
      </c>
      <c r="D133" t="s">
        <v>789</v>
      </c>
      <c r="E133" t="s">
        <v>453</v>
      </c>
      <c r="F133" s="117">
        <v>60</v>
      </c>
      <c r="G133" s="117">
        <v>110</v>
      </c>
      <c r="H133" s="117"/>
      <c r="I133" t="s">
        <v>48</v>
      </c>
    </row>
    <row r="134" spans="2:15" x14ac:dyDescent="0.4">
      <c r="B134">
        <f t="shared" si="6"/>
        <v>6</v>
      </c>
      <c r="D134" t="s">
        <v>789</v>
      </c>
      <c r="E134" t="s">
        <v>763</v>
      </c>
      <c r="F134" s="117">
        <v>0.1</v>
      </c>
      <c r="G134" s="117">
        <v>0.5</v>
      </c>
      <c r="H134" s="117"/>
      <c r="I134" t="s">
        <v>784</v>
      </c>
    </row>
    <row r="135" spans="2:15" x14ac:dyDescent="0.4">
      <c r="B135">
        <f t="shared" si="6"/>
        <v>7</v>
      </c>
      <c r="C135" t="s">
        <v>695</v>
      </c>
      <c r="D135" t="s">
        <v>789</v>
      </c>
      <c r="E135" t="s">
        <v>692</v>
      </c>
      <c r="F135" s="117">
        <v>2</v>
      </c>
      <c r="G135" s="117">
        <v>5</v>
      </c>
      <c r="H135" s="117"/>
      <c r="I135" t="s">
        <v>53</v>
      </c>
    </row>
    <row r="136" spans="2:15" x14ac:dyDescent="0.4">
      <c r="B136">
        <f t="shared" si="6"/>
        <v>8</v>
      </c>
      <c r="D136" t="s">
        <v>789</v>
      </c>
      <c r="E136" t="s">
        <v>813</v>
      </c>
      <c r="F136" s="117">
        <v>0.02</v>
      </c>
      <c r="G136" s="117">
        <v>0.1</v>
      </c>
      <c r="H136" s="117"/>
      <c r="I136" t="s">
        <v>53</v>
      </c>
    </row>
    <row r="137" spans="2:15" x14ac:dyDescent="0.4">
      <c r="B137">
        <f t="shared" si="6"/>
        <v>9</v>
      </c>
      <c r="D137" t="s">
        <v>789</v>
      </c>
      <c r="E137" t="s">
        <v>794</v>
      </c>
      <c r="F137" s="117">
        <v>8.2799999999999999E-2</v>
      </c>
      <c r="G137" s="117">
        <f>F137*1.1</f>
        <v>9.1080000000000008E-2</v>
      </c>
      <c r="H137" s="117"/>
      <c r="I137" t="s">
        <v>797</v>
      </c>
    </row>
    <row r="138" spans="2:15" x14ac:dyDescent="0.4">
      <c r="B138">
        <f t="shared" si="6"/>
        <v>10</v>
      </c>
      <c r="D138" t="s">
        <v>789</v>
      </c>
      <c r="E138" t="s">
        <v>795</v>
      </c>
      <c r="F138" s="117">
        <v>3.5299999999999998E-2</v>
      </c>
      <c r="G138" s="117">
        <f>F138*1.1</f>
        <v>3.8830000000000003E-2</v>
      </c>
      <c r="H138" s="117"/>
      <c r="I138" t="s">
        <v>797</v>
      </c>
    </row>
    <row r="139" spans="2:15" x14ac:dyDescent="0.4">
      <c r="B139">
        <f t="shared" si="6"/>
        <v>11</v>
      </c>
      <c r="D139" t="s">
        <v>789</v>
      </c>
      <c r="E139" t="s">
        <v>796</v>
      </c>
      <c r="F139" s="117">
        <v>0.05</v>
      </c>
      <c r="G139" s="117">
        <v>0.1</v>
      </c>
      <c r="H139" s="117"/>
      <c r="I139" t="s">
        <v>53</v>
      </c>
    </row>
    <row r="140" spans="2:15" x14ac:dyDescent="0.4">
      <c r="B140">
        <f t="shared" si="6"/>
        <v>12</v>
      </c>
      <c r="D140" t="s">
        <v>789</v>
      </c>
      <c r="E140" t="s">
        <v>827</v>
      </c>
      <c r="F140" s="155">
        <f>1/12</f>
        <v>8.3333333333333329E-2</v>
      </c>
      <c r="G140" s="117">
        <f>6/12</f>
        <v>0.5</v>
      </c>
      <c r="H140" s="117"/>
      <c r="I140" t="s">
        <v>48</v>
      </c>
    </row>
    <row r="141" spans="2:15" x14ac:dyDescent="0.4">
      <c r="B141">
        <f t="shared" si="6"/>
        <v>13</v>
      </c>
      <c r="D141" t="s">
        <v>789</v>
      </c>
      <c r="E141" t="s">
        <v>826</v>
      </c>
      <c r="F141" s="117">
        <v>0.5</v>
      </c>
      <c r="G141" s="117">
        <v>1.5</v>
      </c>
      <c r="H141" s="117"/>
      <c r="I141" t="s">
        <v>48</v>
      </c>
    </row>
    <row r="142" spans="2:15" x14ac:dyDescent="0.4">
      <c r="B142">
        <f t="shared" si="6"/>
        <v>14</v>
      </c>
      <c r="D142" t="s">
        <v>798</v>
      </c>
      <c r="E142" t="s">
        <v>799</v>
      </c>
      <c r="F142" s="117">
        <v>0.5</v>
      </c>
      <c r="G142" s="117">
        <v>1.5</v>
      </c>
      <c r="H142" s="117"/>
      <c r="I142" t="s">
        <v>53</v>
      </c>
      <c r="J142" t="s">
        <v>820</v>
      </c>
      <c r="M142" t="str" cm="1">
        <f t="array" ref="M142:M147">_xlfn._xlws.FILTER(E129:E150,D129:D150="effect sensitivity")</f>
        <v>CAR ADOPTION SENSITIVITY</v>
      </c>
      <c r="N142" t="str">
        <f>"'"&amp;M142&amp;"'"</f>
        <v>'CAR ADOPTION SENSITIVITY'</v>
      </c>
      <c r="O142" t="str">
        <f>_xlfn.TEXTJOIN(", ",TRUE,N142:N149)</f>
        <v>'CAR ADOPTION SENSITIVITY', 'BIKE ADOPTION SENSITIVITY', 'SUBJECTIVE CYCLING TIME SENSITIVITY', 'CYCLING NETWORK DISTANCE SENSITIVITY', 'PT ACCESS EGRESS SENSITIVITY', '', ''</v>
      </c>
    </row>
    <row r="143" spans="2:15" x14ac:dyDescent="0.4">
      <c r="B143">
        <f t="shared" si="6"/>
        <v>15</v>
      </c>
      <c r="C143" t="s">
        <v>694</v>
      </c>
      <c r="D143" t="s">
        <v>788</v>
      </c>
      <c r="E143" t="s">
        <v>800</v>
      </c>
      <c r="F143" s="121">
        <v>0</v>
      </c>
      <c r="G143" s="121">
        <v>1</v>
      </c>
      <c r="H143" s="121">
        <v>1</v>
      </c>
      <c r="I143" t="s">
        <v>53</v>
      </c>
      <c r="J143" s="3" t="s">
        <v>790</v>
      </c>
      <c r="M143" t="str">
        <v>BIKE ADOPTION SENSITIVITY</v>
      </c>
      <c r="N143" t="str">
        <f t="shared" ref="N143:N149" si="7">"'"&amp;M143&amp;"'"</f>
        <v>'BIKE ADOPTION SENSITIVITY'</v>
      </c>
    </row>
    <row r="144" spans="2:15" x14ac:dyDescent="0.4">
      <c r="B144">
        <f t="shared" si="6"/>
        <v>16</v>
      </c>
      <c r="D144" t="s">
        <v>788</v>
      </c>
      <c r="E144" t="s">
        <v>801</v>
      </c>
      <c r="F144" s="121">
        <v>0</v>
      </c>
      <c r="G144" s="121">
        <v>1</v>
      </c>
      <c r="H144" s="121">
        <v>1</v>
      </c>
      <c r="I144" t="s">
        <v>802</v>
      </c>
      <c r="J144" s="3" t="s">
        <v>790</v>
      </c>
      <c r="M144" t="str">
        <v>SUBJECTIVE CYCLING TIME SENSITIVITY</v>
      </c>
      <c r="N144" t="str">
        <f t="shared" si="7"/>
        <v>'SUBJECTIVE CYCLING TIME SENSITIVITY'</v>
      </c>
    </row>
    <row r="145" spans="2:14" x14ac:dyDescent="0.4">
      <c r="B145">
        <f t="shared" si="6"/>
        <v>17</v>
      </c>
      <c r="D145" t="s">
        <v>789</v>
      </c>
      <c r="E145" t="s">
        <v>818</v>
      </c>
      <c r="F145" s="118">
        <v>0.5</v>
      </c>
      <c r="G145" s="121">
        <v>5</v>
      </c>
      <c r="H145" s="121"/>
      <c r="I145" t="s">
        <v>48</v>
      </c>
      <c r="J145" s="3"/>
      <c r="M145" t="str">
        <v>CYCLING NETWORK DISTANCE SENSITIVITY</v>
      </c>
      <c r="N145" t="str">
        <f t="shared" si="7"/>
        <v>'CYCLING NETWORK DISTANCE SENSITIVITY'</v>
      </c>
    </row>
    <row r="146" spans="2:14" x14ac:dyDescent="0.4">
      <c r="B146">
        <f t="shared" si="6"/>
        <v>18</v>
      </c>
      <c r="D146" t="s">
        <v>789</v>
      </c>
      <c r="E146" t="s">
        <v>819</v>
      </c>
      <c r="F146" s="118">
        <v>0.8</v>
      </c>
      <c r="G146" s="121">
        <v>1.2</v>
      </c>
      <c r="H146" s="121"/>
      <c r="I146" t="s">
        <v>806</v>
      </c>
      <c r="M146" t="str">
        <v>PT ACCESS EGRESS SENSITIVITY</v>
      </c>
      <c r="N146" t="str">
        <f t="shared" si="7"/>
        <v>'PT ACCESS EGRESS SENSITIVITY'</v>
      </c>
    </row>
    <row r="147" spans="2:14" x14ac:dyDescent="0.4">
      <c r="B147">
        <f t="shared" si="6"/>
        <v>19</v>
      </c>
      <c r="D147" t="s">
        <v>798</v>
      </c>
      <c r="E147" t="s">
        <v>812</v>
      </c>
      <c r="F147" s="118">
        <v>0.5</v>
      </c>
      <c r="G147" s="121">
        <v>2</v>
      </c>
      <c r="H147" s="121"/>
      <c r="I147" t="s">
        <v>53</v>
      </c>
      <c r="M147" t="str">
        <v>PARKING SEARCH AND EGRESS SENSITIVITY</v>
      </c>
    </row>
    <row r="148" spans="2:14" x14ac:dyDescent="0.4">
      <c r="B148">
        <f t="shared" si="6"/>
        <v>20</v>
      </c>
      <c r="D148" t="s">
        <v>798</v>
      </c>
      <c r="E148" t="s">
        <v>803</v>
      </c>
      <c r="F148" s="118">
        <v>0.5</v>
      </c>
      <c r="G148" s="121">
        <v>2</v>
      </c>
      <c r="H148" s="121"/>
      <c r="I148" t="s">
        <v>53</v>
      </c>
      <c r="N148" t="str">
        <f t="shared" si="7"/>
        <v>''</v>
      </c>
    </row>
    <row r="149" spans="2:14" x14ac:dyDescent="0.4">
      <c r="B149">
        <f t="shared" si="6"/>
        <v>21</v>
      </c>
      <c r="D149" t="s">
        <v>798</v>
      </c>
      <c r="E149" t="s">
        <v>804</v>
      </c>
      <c r="F149" s="118">
        <v>0.5</v>
      </c>
      <c r="G149" s="121">
        <v>2</v>
      </c>
      <c r="H149" s="121"/>
      <c r="I149" t="s">
        <v>53</v>
      </c>
      <c r="N149" t="str">
        <f t="shared" si="7"/>
        <v>''</v>
      </c>
    </row>
    <row r="150" spans="2:14" x14ac:dyDescent="0.4">
      <c r="B150">
        <f t="shared" si="6"/>
        <v>22</v>
      </c>
      <c r="D150" t="s">
        <v>798</v>
      </c>
      <c r="E150" t="s">
        <v>805</v>
      </c>
      <c r="F150" s="118">
        <v>0.5</v>
      </c>
      <c r="G150" s="121">
        <v>2</v>
      </c>
      <c r="H150" s="121"/>
      <c r="I150" t="s">
        <v>53</v>
      </c>
    </row>
    <row r="152" spans="2:14" x14ac:dyDescent="0.4">
      <c r="C152" s="127" t="s">
        <v>808</v>
      </c>
      <c r="D152" s="127"/>
      <c r="E152" s="128"/>
      <c r="F152" s="128"/>
      <c r="G152" s="128"/>
      <c r="H152" s="128"/>
      <c r="I152" s="128"/>
    </row>
    <row r="154" spans="2:14" x14ac:dyDescent="0.4">
      <c r="B154">
        <f>B150+1</f>
        <v>23</v>
      </c>
      <c r="C154" s="8" t="s">
        <v>0</v>
      </c>
      <c r="D154" s="8" t="s">
        <v>786</v>
      </c>
      <c r="E154" s="8" t="s">
        <v>787</v>
      </c>
      <c r="I154" s="8" t="s">
        <v>34</v>
      </c>
      <c r="J154" s="3" t="s">
        <v>811</v>
      </c>
    </row>
    <row r="155" spans="2:14" x14ac:dyDescent="0.4">
      <c r="C155" s="212" t="s">
        <v>694</v>
      </c>
      <c r="D155" s="153" t="s">
        <v>788</v>
      </c>
      <c r="E155" s="212" t="s">
        <v>698</v>
      </c>
      <c r="F155" t="s">
        <v>699</v>
      </c>
    </row>
    <row r="156" spans="2:14" x14ac:dyDescent="0.4">
      <c r="C156" s="212"/>
      <c r="D156" s="153"/>
      <c r="E156" s="212"/>
      <c r="F156" t="s">
        <v>700</v>
      </c>
      <c r="J156" s="3"/>
    </row>
    <row r="166" spans="3:5" x14ac:dyDescent="0.4">
      <c r="C166" s="8" t="s">
        <v>0</v>
      </c>
      <c r="D166" s="8" t="s">
        <v>859</v>
      </c>
      <c r="E166" s="8" t="s">
        <v>787</v>
      </c>
    </row>
    <row r="167" spans="3:5" x14ac:dyDescent="0.4">
      <c r="C167" t="s">
        <v>693</v>
      </c>
      <c r="D167" t="s">
        <v>828</v>
      </c>
      <c r="E167" t="s">
        <v>863</v>
      </c>
    </row>
    <row r="168" spans="3:5" x14ac:dyDescent="0.4">
      <c r="D168" t="s">
        <v>829</v>
      </c>
      <c r="E168" t="s">
        <v>830</v>
      </c>
    </row>
    <row r="169" spans="3:5" x14ac:dyDescent="0.4">
      <c r="C169" t="s">
        <v>696</v>
      </c>
      <c r="D169" t="s">
        <v>831</v>
      </c>
      <c r="E169" t="str">
        <f>"-30% or -20% for young adults compared to current adults"</f>
        <v>-30% or -20% for young adults compared to current adults</v>
      </c>
    </row>
    <row r="170" spans="3:5" x14ac:dyDescent="0.4">
      <c r="D170" t="s">
        <v>832</v>
      </c>
      <c r="E170" t="s">
        <v>864</v>
      </c>
    </row>
    <row r="171" spans="3:5" x14ac:dyDescent="0.4">
      <c r="C171" t="s">
        <v>32</v>
      </c>
      <c r="D171" t="s">
        <v>833</v>
      </c>
      <c r="E171" t="s">
        <v>834</v>
      </c>
    </row>
    <row r="172" spans="3:5" x14ac:dyDescent="0.4">
      <c r="D172" t="s">
        <v>835</v>
      </c>
      <c r="E172" t="s">
        <v>860</v>
      </c>
    </row>
    <row r="173" spans="3:5" x14ac:dyDescent="0.4">
      <c r="C173" t="s">
        <v>695</v>
      </c>
      <c r="D173" t="s">
        <v>836</v>
      </c>
      <c r="E173" t="s">
        <v>861</v>
      </c>
    </row>
    <row r="174" spans="3:5" x14ac:dyDescent="0.4">
      <c r="D174" t="s">
        <v>837</v>
      </c>
      <c r="E174" t="s">
        <v>862</v>
      </c>
    </row>
    <row r="175" spans="3:5" x14ac:dyDescent="0.4">
      <c r="D175" t="s">
        <v>838</v>
      </c>
      <c r="E175" t="s">
        <v>839</v>
      </c>
    </row>
    <row r="176" spans="3:5" x14ac:dyDescent="0.4">
      <c r="D176" t="s">
        <v>838</v>
      </c>
      <c r="E176" t="s">
        <v>840</v>
      </c>
    </row>
    <row r="177" spans="3:5" x14ac:dyDescent="0.4">
      <c r="D177" t="s">
        <v>841</v>
      </c>
      <c r="E177" t="s">
        <v>842</v>
      </c>
    </row>
    <row r="178" spans="3:5" x14ac:dyDescent="0.4">
      <c r="D178" t="s">
        <v>843</v>
      </c>
      <c r="E178" t="s">
        <v>844</v>
      </c>
    </row>
    <row r="179" spans="3:5" x14ac:dyDescent="0.4">
      <c r="D179" t="s">
        <v>845</v>
      </c>
      <c r="E179" t="s">
        <v>846</v>
      </c>
    </row>
    <row r="180" spans="3:5" x14ac:dyDescent="0.4">
      <c r="D180" t="s">
        <v>847</v>
      </c>
      <c r="E180" t="s">
        <v>865</v>
      </c>
    </row>
    <row r="181" spans="3:5" x14ac:dyDescent="0.4">
      <c r="C181" t="s">
        <v>694</v>
      </c>
      <c r="D181" t="s">
        <v>848</v>
      </c>
      <c r="E181" t="s">
        <v>849</v>
      </c>
    </row>
    <row r="182" spans="3:5" x14ac:dyDescent="0.4">
      <c r="D182" t="s">
        <v>850</v>
      </c>
      <c r="E182" t="s">
        <v>851</v>
      </c>
    </row>
    <row r="183" spans="3:5" x14ac:dyDescent="0.4">
      <c r="D183" t="s">
        <v>852</v>
      </c>
      <c r="E183" t="s">
        <v>853</v>
      </c>
    </row>
    <row r="184" spans="3:5" x14ac:dyDescent="0.4">
      <c r="D184" t="s">
        <v>810</v>
      </c>
      <c r="E184" t="s">
        <v>854</v>
      </c>
    </row>
    <row r="185" spans="3:5" x14ac:dyDescent="0.4">
      <c r="D185" t="s">
        <v>855</v>
      </c>
      <c r="E185" t="s">
        <v>866</v>
      </c>
    </row>
    <row r="186" spans="3:5" x14ac:dyDescent="0.4">
      <c r="D186" t="s">
        <v>856</v>
      </c>
      <c r="E186" t="s">
        <v>868</v>
      </c>
    </row>
    <row r="187" spans="3:5" x14ac:dyDescent="0.4">
      <c r="D187" t="s">
        <v>857</v>
      </c>
      <c r="E187" t="s">
        <v>867</v>
      </c>
    </row>
    <row r="188" spans="3:5" x14ac:dyDescent="0.4">
      <c r="D188" t="s">
        <v>858</v>
      </c>
      <c r="E188" t="s">
        <v>869</v>
      </c>
    </row>
  </sheetData>
  <mergeCells count="6">
    <mergeCell ref="L44:M44"/>
    <mergeCell ref="L39:M39"/>
    <mergeCell ref="B1:C1"/>
    <mergeCell ref="B67:C67"/>
    <mergeCell ref="C155:C156"/>
    <mergeCell ref="E155:E156"/>
  </mergeCells>
  <hyperlinks>
    <hyperlink ref="L18" r:id="rId1" location="consulter" xr:uid="{B5B6B4B3-880B-428B-9F09-8A457252331F}"/>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19</vt:i4>
      </vt:variant>
    </vt:vector>
  </HeadingPairs>
  <TitlesOfParts>
    <vt:vector size="27" baseType="lpstr">
      <vt:lpstr>estimates</vt:lpstr>
      <vt:lpstr>scenario_switches</vt:lpstr>
      <vt:lpstr>effect_lookups</vt:lpstr>
      <vt:lpstr>MARS_lookups</vt:lpstr>
      <vt:lpstr>callibration</vt:lpstr>
      <vt:lpstr>model</vt:lpstr>
      <vt:lpstr>uncertain parameters</vt:lpstr>
      <vt:lpstr>old</vt:lpstr>
      <vt:lpstr>Beta_5</vt:lpstr>
      <vt:lpstr>Beta_8</vt:lpstr>
      <vt:lpstr>Car_network</vt:lpstr>
      <vt:lpstr>Change_ldc</vt:lpstr>
      <vt:lpstr>Change_ldp</vt:lpstr>
      <vt:lpstr>Change_mdp</vt:lpstr>
      <vt:lpstr>Long_ldc</vt:lpstr>
      <vt:lpstr>Metro_network</vt:lpstr>
      <vt:lpstr>old</vt:lpstr>
      <vt:lpstr>Ref_access</vt:lpstr>
      <vt:lpstr>Ref_cost</vt:lpstr>
      <vt:lpstr>Ref_search</vt:lpstr>
      <vt:lpstr>Solve_5</vt:lpstr>
      <vt:lpstr>Solve_8</vt:lpstr>
      <vt:lpstr>Solve_ldc</vt:lpstr>
      <vt:lpstr>Solve_ldp</vt:lpstr>
      <vt:lpstr>Solve_mdb</vt:lpstr>
      <vt:lpstr>Solve_mdc</vt:lpstr>
      <vt:lpstr>Solve_mdp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 Arnoldus</dc:creator>
  <cp:lastModifiedBy>Micha Arnoldus</cp:lastModifiedBy>
  <dcterms:created xsi:type="dcterms:W3CDTF">2015-06-05T18:17:20Z</dcterms:created>
  <dcterms:modified xsi:type="dcterms:W3CDTF">2024-11-05T23:10:34Z</dcterms:modified>
</cp:coreProperties>
</file>